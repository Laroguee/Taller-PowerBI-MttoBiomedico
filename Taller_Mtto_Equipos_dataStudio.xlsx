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nicos" sheetId="1" r:id="rId5"/>
    <sheet state="visible" name="Equipos" sheetId="2" r:id="rId6"/>
    <sheet state="visible" name="Tipo_Mtto" sheetId="3" r:id="rId7"/>
    <sheet state="visible" name="Clientes" sheetId="4" r:id="rId8"/>
    <sheet state="visible" name="Ordenes_Servicio" sheetId="5" r:id="rId9"/>
  </sheets>
  <definedNames>
    <definedName hidden="1" localSheetId="1" name="Z_6097E25C_F1E0_43A1_A77C_25291698863B_.wvu.FilterData">Equipos!$A$1:$C$7</definedName>
    <definedName hidden="1" localSheetId="0" name="Z_57764CC1_EAC5_441F_A351_2F5BD52EB92B_.wvu.FilterData">Tecnicos!$A$1:$C$6</definedName>
    <definedName hidden="1" localSheetId="2" name="Z_8EAD4A7B_C627_42FA_88DD_561D5D0BE160_.wvu.FilterData">Tipo_Mtto!$A$1:$C$4</definedName>
    <definedName hidden="1" localSheetId="3" name="Z_5F9AE8AE_E78D_4B1C_B879_B0003EC3BE84_.wvu.FilterData">Clientes!$A$1:$C$15</definedName>
  </definedNames>
  <calcPr/>
  <customWorkbookViews>
    <customWorkbookView activeSheetId="0" maximized="1" windowHeight="0" windowWidth="0" guid="{6097E25C-F1E0-43A1-A77C-25291698863B}" name="Table4 filter view"/>
    <customWorkbookView activeSheetId="0" maximized="1" windowHeight="0" windowWidth="0" guid="{57764CC1-EAC5-441F-A351-2F5BD52EB92B}" name="Table3 filter view"/>
    <customWorkbookView activeSheetId="0" maximized="1" windowHeight="0" windowWidth="0" guid="{8EAD4A7B-C627-42FA-88DD-561D5D0BE160}" name="Table5 filter view"/>
    <customWorkbookView activeSheetId="0" maximized="1" windowHeight="0" windowWidth="0" guid="{5F9AE8AE-E78D-4B1C-B879-B0003EC3BE84}" name="Table6 filter view"/>
  </customWorkbookViews>
</workbook>
</file>

<file path=xl/sharedStrings.xml><?xml version="1.0" encoding="utf-8"?>
<sst xmlns="http://schemas.openxmlformats.org/spreadsheetml/2006/main" count="1859" uniqueCount="449">
  <si>
    <t>ID_Tipo</t>
  </si>
  <si>
    <t>ID_Equipo</t>
  </si>
  <si>
    <t>ID_Cliente</t>
  </si>
  <si>
    <t>ID_Tecnico</t>
  </si>
  <si>
    <t>Categoria</t>
  </si>
  <si>
    <t>Nombre_Tecnico</t>
  </si>
  <si>
    <t>Nombre_Hospital</t>
  </si>
  <si>
    <t>Tipo_Equipo</t>
  </si>
  <si>
    <t>Prioridad</t>
  </si>
  <si>
    <t>Nivel</t>
  </si>
  <si>
    <t>Departamento</t>
  </si>
  <si>
    <t>T01</t>
  </si>
  <si>
    <t>Marca</t>
  </si>
  <si>
    <t>C01</t>
  </si>
  <si>
    <t>M01</t>
  </si>
  <si>
    <t>Carlos Mendoza</t>
  </si>
  <si>
    <t>Preventivo Programado</t>
  </si>
  <si>
    <t>EQ01</t>
  </si>
  <si>
    <t>Hospital Nacional de Ahuachapán</t>
  </si>
  <si>
    <t>Experto</t>
  </si>
  <si>
    <t>Media</t>
  </si>
  <si>
    <t>Ahuachapán</t>
  </si>
  <si>
    <t>Rayos X</t>
  </si>
  <si>
    <t>M02</t>
  </si>
  <si>
    <t>C02</t>
  </si>
  <si>
    <t>T02</t>
  </si>
  <si>
    <t>Correctivo</t>
  </si>
  <si>
    <t>Hospital San Juan de Dios</t>
  </si>
  <si>
    <t>Sofía Rodas</t>
  </si>
  <si>
    <t>General Electric</t>
  </si>
  <si>
    <t>Santa Ana</t>
  </si>
  <si>
    <t>Alta</t>
  </si>
  <si>
    <t>Senior</t>
  </si>
  <si>
    <t>T03</t>
  </si>
  <si>
    <t>C03</t>
  </si>
  <si>
    <t>M03</t>
  </si>
  <si>
    <t>EQ02</t>
  </si>
  <si>
    <t>Juan Pérez</t>
  </si>
  <si>
    <t>Hospital Jorge Mazzini</t>
  </si>
  <si>
    <t>Instalación</t>
  </si>
  <si>
    <t>Sonsonate</t>
  </si>
  <si>
    <t>Junior</t>
  </si>
  <si>
    <t>Ultrasonido</t>
  </si>
  <si>
    <t>Baja</t>
  </si>
  <si>
    <t>C04</t>
  </si>
  <si>
    <t>T04</t>
  </si>
  <si>
    <t>Hospital Dr. Luis Edmundo Vásquez</t>
  </si>
  <si>
    <t>Philips</t>
  </si>
  <si>
    <t>Elena Gómez</t>
  </si>
  <si>
    <t>Chalatenango</t>
  </si>
  <si>
    <t>C05</t>
  </si>
  <si>
    <t>T05</t>
  </si>
  <si>
    <t>Hospital San Rafael</t>
  </si>
  <si>
    <t>Luis Martínez</t>
  </si>
  <si>
    <t>La Libertad</t>
  </si>
  <si>
    <t>C06</t>
  </si>
  <si>
    <t>Hospital Nacional Rosales</t>
  </si>
  <si>
    <t>San Salvador</t>
  </si>
  <si>
    <t>C07</t>
  </si>
  <si>
    <t>Hospital de Cojutepeque</t>
  </si>
  <si>
    <t>Cuscatlán</t>
  </si>
  <si>
    <t>C08</t>
  </si>
  <si>
    <t>Hospital Santa Teresa</t>
  </si>
  <si>
    <t>EQ03</t>
  </si>
  <si>
    <t>La Paz</t>
  </si>
  <si>
    <t>C09</t>
  </si>
  <si>
    <t>Monitor</t>
  </si>
  <si>
    <t>Hospital de Sensuntepeque</t>
  </si>
  <si>
    <t>Cabañas</t>
  </si>
  <si>
    <t>Mindray</t>
  </si>
  <si>
    <t>C10</t>
  </si>
  <si>
    <t>EQ04</t>
  </si>
  <si>
    <t>Hospital Santa Gertrudis</t>
  </si>
  <si>
    <t>Ventilador</t>
  </si>
  <si>
    <t>San Vicente</t>
  </si>
  <si>
    <t>C11</t>
  </si>
  <si>
    <t>Dräger</t>
  </si>
  <si>
    <t>Hospital de Usulután</t>
  </si>
  <si>
    <t>Usulután</t>
  </si>
  <si>
    <t>EQ05</t>
  </si>
  <si>
    <t>C12</t>
  </si>
  <si>
    <t>Incubadora</t>
  </si>
  <si>
    <t>San Miguel</t>
  </si>
  <si>
    <t>C13</t>
  </si>
  <si>
    <t>Siemens</t>
  </si>
  <si>
    <t>Hospital de San Francisco Gotera</t>
  </si>
  <si>
    <t>Morazán</t>
  </si>
  <si>
    <t>EQ06</t>
  </si>
  <si>
    <t>C14</t>
  </si>
  <si>
    <t>Desfibrilador</t>
  </si>
  <si>
    <t>Hospital de La Unión</t>
  </si>
  <si>
    <t>La Unión</t>
  </si>
  <si>
    <t>Zoll</t>
  </si>
  <si>
    <t>ID_Orden</t>
  </si>
  <si>
    <t>Fecha</t>
  </si>
  <si>
    <t>Costo_Reparacion</t>
  </si>
  <si>
    <t>Horas_Trabajadas</t>
  </si>
  <si>
    <t>Ubicacion</t>
  </si>
  <si>
    <t>Categoria_mtto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</si>
  <si>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</si>
  <si>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</si>
  <si>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</si>
  <si>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</si>
  <si>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</si>
  <si>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</si>
  <si>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</si>
  <si>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</si>
  <si>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</si>
  <si>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</si>
  <si>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</si>
  <si>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</si>
  <si>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</si>
  <si>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</si>
  <si>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</si>
  <si>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</si>
  <si>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</si>
  <si>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</si>
  <si>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</si>
  <si>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</si>
  <si>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ORD-021</t>
  </si>
  <si>
    <t>ORD-022</t>
  </si>
  <si>
    <t>ORD-023</t>
  </si>
  <si>
    <t>ORD-024</t>
  </si>
  <si>
    <t>ORD-025</t>
  </si>
  <si>
    <t>ORD-026</t>
  </si>
  <si>
    <t>ORD-027</t>
  </si>
  <si>
    <t>ORD-028</t>
  </si>
  <si>
    <t>ORD-029</t>
  </si>
  <si>
    <t>ORD-030</t>
  </si>
  <si>
    <t>ORD-031</t>
  </si>
  <si>
    <t>ORD-032</t>
  </si>
  <si>
    <t>ORD-033</t>
  </si>
  <si>
    <t>ORD-034</t>
  </si>
  <si>
    <t>ORD-035</t>
  </si>
  <si>
    <t>ORD-036</t>
  </si>
  <si>
    <t>ORD-037</t>
  </si>
  <si>
    <t>ORD-038</t>
  </si>
  <si>
    <t>ORD-039</t>
  </si>
  <si>
    <t>ORD-040</t>
  </si>
  <si>
    <t>ORD-041</t>
  </si>
  <si>
    <t>ORD-042</t>
  </si>
  <si>
    <t>ORD-043</t>
  </si>
  <si>
    <t>ORD-044</t>
  </si>
  <si>
    <t>ORD-045</t>
  </si>
  <si>
    <t>ORD-046</t>
  </si>
  <si>
    <t>ORD-047</t>
  </si>
  <si>
    <t>ORD-048</t>
  </si>
  <si>
    <t>ORD-049</t>
  </si>
  <si>
    <t>ORD-050</t>
  </si>
  <si>
    <t>ORD-051</t>
  </si>
  <si>
    <t>ORD-052</t>
  </si>
  <si>
    <t>ORD-053</t>
  </si>
  <si>
    <t>ORD-054</t>
  </si>
  <si>
    <t>ORD-055</t>
  </si>
  <si>
    <t>ORD-056</t>
  </si>
  <si>
    <t>ORD-057</t>
  </si>
  <si>
    <t>ORD-058</t>
  </si>
  <si>
    <t>ORD-059</t>
  </si>
  <si>
    <t>ORD-060</t>
  </si>
  <si>
    <t>ORD-061</t>
  </si>
  <si>
    <t>ORD-062</t>
  </si>
  <si>
    <t>ORD-063</t>
  </si>
  <si>
    <t>ORD-064</t>
  </si>
  <si>
    <t>ORD-065</t>
  </si>
  <si>
    <t>ORD-066</t>
  </si>
  <si>
    <t>ORD-067</t>
  </si>
  <si>
    <t>ORD-068</t>
  </si>
  <si>
    <t>ORD-069</t>
  </si>
  <si>
    <t>ORD-070</t>
  </si>
  <si>
    <t>ORD-071</t>
  </si>
  <si>
    <t>ORD-072</t>
  </si>
  <si>
    <t>ORD-073</t>
  </si>
  <si>
    <t>ORD-074</t>
  </si>
  <si>
    <t>ORD-075</t>
  </si>
  <si>
    <t>ORD-076</t>
  </si>
  <si>
    <t>ORD-077</t>
  </si>
  <si>
    <t>ORD-078</t>
  </si>
  <si>
    <t>ORD-079</t>
  </si>
  <si>
    <t>ORD-080</t>
  </si>
  <si>
    <t>ORD-081</t>
  </si>
  <si>
    <t>ORD-082</t>
  </si>
  <si>
    <t>ORD-083</t>
  </si>
  <si>
    <t>ORD-084</t>
  </si>
  <si>
    <t>ORD-085</t>
  </si>
  <si>
    <t>ORD-086</t>
  </si>
  <si>
    <t>ORD-087</t>
  </si>
  <si>
    <t>ORD-088</t>
  </si>
  <si>
    <t>ORD-089</t>
  </si>
  <si>
    <t>ORD-090</t>
  </si>
  <si>
    <t>ORD-091</t>
  </si>
  <si>
    <t>ORD-092</t>
  </si>
  <si>
    <t>ORD-093</t>
  </si>
  <si>
    <t>ORD-094</t>
  </si>
  <si>
    <t>ORD-095</t>
  </si>
  <si>
    <t>ORD-096</t>
  </si>
  <si>
    <t>ORD-097</t>
  </si>
  <si>
    <t>ORD-098</t>
  </si>
  <si>
    <t>ORD-099</t>
  </si>
  <si>
    <t>ORD-100</t>
  </si>
  <si>
    <t>ORD-101</t>
  </si>
  <si>
    <t>ORD-102</t>
  </si>
  <si>
    <t>ORD-103</t>
  </si>
  <si>
    <t>ORD-104</t>
  </si>
  <si>
    <t>ORD-105</t>
  </si>
  <si>
    <t>ORD-106</t>
  </si>
  <si>
    <t>ORD-107</t>
  </si>
  <si>
    <t>ORD-108</t>
  </si>
  <si>
    <t>ORD-109</t>
  </si>
  <si>
    <t>ORD-110</t>
  </si>
  <si>
    <t>ORD-111</t>
  </si>
  <si>
    <t>ORD-112</t>
  </si>
  <si>
    <t>ORD-113</t>
  </si>
  <si>
    <t>ORD-114</t>
  </si>
  <si>
    <t>ORD-115</t>
  </si>
  <si>
    <t>ORD-116</t>
  </si>
  <si>
    <t>ORD-117</t>
  </si>
  <si>
    <t>ORD-118</t>
  </si>
  <si>
    <t>ORD-119</t>
  </si>
  <si>
    <t>ORD-120</t>
  </si>
  <si>
    <t>ORD-121</t>
  </si>
  <si>
    <t>ORD-122</t>
  </si>
  <si>
    <t>ORD-123</t>
  </si>
  <si>
    <t>ORD-124</t>
  </si>
  <si>
    <t>ORD-125</t>
  </si>
  <si>
    <t>ORD-126</t>
  </si>
  <si>
    <t>ORD-127</t>
  </si>
  <si>
    <t>ORD-128</t>
  </si>
  <si>
    <t>ORD-129</t>
  </si>
  <si>
    <t>ORD-130</t>
  </si>
  <si>
    <t>ORD-131</t>
  </si>
  <si>
    <t>ORD-132</t>
  </si>
  <si>
    <t>ORD-133</t>
  </si>
  <si>
    <t>ORD-134</t>
  </si>
  <si>
    <t>ORD-135</t>
  </si>
  <si>
    <t>ORD-136</t>
  </si>
  <si>
    <t>ORD-137</t>
  </si>
  <si>
    <t>ORD-138</t>
  </si>
  <si>
    <t>ORD-139</t>
  </si>
  <si>
    <t>ORD-140</t>
  </si>
  <si>
    <t>ORD-141</t>
  </si>
  <si>
    <t>ORD-142</t>
  </si>
  <si>
    <t>ORD-143</t>
  </si>
  <si>
    <t>ORD-144</t>
  </si>
  <si>
    <t>ORD-145</t>
  </si>
  <si>
    <t>ORD-146</t>
  </si>
  <si>
    <t>ORD-147</t>
  </si>
  <si>
    <t>ORD-148</t>
  </si>
  <si>
    <t>ORD-149</t>
  </si>
  <si>
    <t>ORD-150</t>
  </si>
  <si>
    <t>ORD-151</t>
  </si>
  <si>
    <t>ORD-152</t>
  </si>
  <si>
    <t>ORD-153</t>
  </si>
  <si>
    <t>ORD-154</t>
  </si>
  <si>
    <t>ORD-155</t>
  </si>
  <si>
    <t>ORD-156</t>
  </si>
  <si>
    <t>ORD-157</t>
  </si>
  <si>
    <t>ORD-158</t>
  </si>
  <si>
    <t>ORD-159</t>
  </si>
  <si>
    <t>ORD-160</t>
  </si>
  <si>
    <t>ORD-161</t>
  </si>
  <si>
    <t>ORD-162</t>
  </si>
  <si>
    <t>ORD-163</t>
  </si>
  <si>
    <t>ORD-164</t>
  </si>
  <si>
    <t>ORD-165</t>
  </si>
  <si>
    <t>ORD-166</t>
  </si>
  <si>
    <t>ORD-167</t>
  </si>
  <si>
    <t>ORD-168</t>
  </si>
  <si>
    <t>ORD-169</t>
  </si>
  <si>
    <t>ORD-170</t>
  </si>
  <si>
    <t>ORD-171</t>
  </si>
  <si>
    <t>ORD-172</t>
  </si>
  <si>
    <t>ORD-173</t>
  </si>
  <si>
    <t>ORD-174</t>
  </si>
  <si>
    <t>ORD-175</t>
  </si>
  <si>
    <t>ORD-176</t>
  </si>
  <si>
    <t>ORD-177</t>
  </si>
  <si>
    <t>ORD-178</t>
  </si>
  <si>
    <t>ORD-179</t>
  </si>
  <si>
    <t>ORD-180</t>
  </si>
  <si>
    <t>ORD-181</t>
  </si>
  <si>
    <t>ORD-182</t>
  </si>
  <si>
    <t>ORD-183</t>
  </si>
  <si>
    <t>ORD-184</t>
  </si>
  <si>
    <t>ORD-185</t>
  </si>
  <si>
    <t>ORD-186</t>
  </si>
  <si>
    <t>ORD-187</t>
  </si>
  <si>
    <t>ORD-188</t>
  </si>
  <si>
    <t>ORD-189</t>
  </si>
  <si>
    <t>ORD-190</t>
  </si>
  <si>
    <t>ORD-191</t>
  </si>
  <si>
    <t>ORD-192</t>
  </si>
  <si>
    <t>ORD-193</t>
  </si>
  <si>
    <t>ORD-194</t>
  </si>
  <si>
    <t>ORD-195</t>
  </si>
  <si>
    <t>ORD-196</t>
  </si>
  <si>
    <t>ORD-197</t>
  </si>
  <si>
    <t>ORD-198</t>
  </si>
  <si>
    <t>ORD-199</t>
  </si>
  <si>
    <t>ORD-200</t>
  </si>
  <si>
    <t>ORD-201</t>
  </si>
  <si>
    <t>ORD-202</t>
  </si>
  <si>
    <t>ORD-203</t>
  </si>
  <si>
    <t>ORD-204</t>
  </si>
  <si>
    <t>ORD-205</t>
  </si>
  <si>
    <t>ORD-206</t>
  </si>
  <si>
    <t>ORD-207</t>
  </si>
  <si>
    <t>ORD-208</t>
  </si>
  <si>
    <t>ORD-209</t>
  </si>
  <si>
    <t>ORD-210</t>
  </si>
  <si>
    <t>ORD-211</t>
  </si>
  <si>
    <t>ORD-212</t>
  </si>
  <si>
    <t>ORD-213</t>
  </si>
  <si>
    <t>ORD-214</t>
  </si>
  <si>
    <t>ORD-215</t>
  </si>
  <si>
    <t>ORD-216</t>
  </si>
  <si>
    <t>ORD-217</t>
  </si>
  <si>
    <t>ORD-218</t>
  </si>
  <si>
    <t>ORD-219</t>
  </si>
  <si>
    <t>ORD-220</t>
  </si>
  <si>
    <t>ORD-221</t>
  </si>
  <si>
    <t>ORD-222</t>
  </si>
  <si>
    <t>ORD-223</t>
  </si>
  <si>
    <t>ORD-224</t>
  </si>
  <si>
    <t>ORD-225</t>
  </si>
  <si>
    <t>ORD-226</t>
  </si>
  <si>
    <t>ORD-227</t>
  </si>
  <si>
    <t>ORD-228</t>
  </si>
  <si>
    <t>ORD-229</t>
  </si>
  <si>
    <t>ORD-230</t>
  </si>
  <si>
    <t>ORD-231</t>
  </si>
  <si>
    <t>ORD-232</t>
  </si>
  <si>
    <t>ORD-233</t>
  </si>
  <si>
    <t>ORD-234</t>
  </si>
  <si>
    <t>ORD-235</t>
  </si>
  <si>
    <t>ORD-236</t>
  </si>
  <si>
    <t>ORD-237</t>
  </si>
  <si>
    <t>ORD-238</t>
  </si>
  <si>
    <t>ORD-239</t>
  </si>
  <si>
    <t>ORD-240</t>
  </si>
  <si>
    <t>ORD-241</t>
  </si>
  <si>
    <t>ORD-242</t>
  </si>
  <si>
    <t>ORD-243</t>
  </si>
  <si>
    <t>ORD-244</t>
  </si>
  <si>
    <t>ORD-245</t>
  </si>
  <si>
    <t>ORD-246</t>
  </si>
  <si>
    <t>ORD-247</t>
  </si>
  <si>
    <t>ORD-248</t>
  </si>
  <si>
    <t>ORD-249</t>
  </si>
  <si>
    <t>ORD-250</t>
  </si>
  <si>
    <t>ORD-251</t>
  </si>
  <si>
    <t>ORD-252</t>
  </si>
  <si>
    <t>ORD-253</t>
  </si>
  <si>
    <t>ORD-254</t>
  </si>
  <si>
    <t>ORD-255</t>
  </si>
  <si>
    <t>ORD-256</t>
  </si>
  <si>
    <t>ORD-257</t>
  </si>
  <si>
    <t>ORD-258</t>
  </si>
  <si>
    <t>ORD-259</t>
  </si>
  <si>
    <t>ORD-260</t>
  </si>
  <si>
    <t>ORD-261</t>
  </si>
  <si>
    <t>ORD-262</t>
  </si>
  <si>
    <t>ORD-263</t>
  </si>
  <si>
    <t>ORD-264</t>
  </si>
  <si>
    <t>ORD-265</t>
  </si>
  <si>
    <t>ORD-266</t>
  </si>
  <si>
    <t>ORD-267</t>
  </si>
  <si>
    <t>ORD-268</t>
  </si>
  <si>
    <t>ORD-269</t>
  </si>
  <si>
    <t>ORD-270</t>
  </si>
  <si>
    <t>ORD-271</t>
  </si>
  <si>
    <t>ORD-272</t>
  </si>
  <si>
    <t>ORD-273</t>
  </si>
  <si>
    <t>ORD-274</t>
  </si>
  <si>
    <t>ORD-275</t>
  </si>
  <si>
    <t>ORD-276</t>
  </si>
  <si>
    <t>ORD-277</t>
  </si>
  <si>
    <t>ORD-278</t>
  </si>
  <si>
    <t>ORD-279</t>
  </si>
  <si>
    <t>ORD-280</t>
  </si>
  <si>
    <t>ORD-281</t>
  </si>
  <si>
    <t>ORD-282</t>
  </si>
  <si>
    <t>ORD-283</t>
  </si>
  <si>
    <t>ORD-284</t>
  </si>
  <si>
    <t>ORD-285</t>
  </si>
  <si>
    <t>ORD-286</t>
  </si>
  <si>
    <t>ORD-287</t>
  </si>
  <si>
    <t>ORD-288</t>
  </si>
  <si>
    <t>ORD-289</t>
  </si>
  <si>
    <t>ORD-290</t>
  </si>
  <si>
    <t>ORD-291</t>
  </si>
  <si>
    <t>ORD-292</t>
  </si>
  <si>
    <t>ORD-293</t>
  </si>
  <si>
    <t>ORD-294</t>
  </si>
  <si>
    <t>ORD-295</t>
  </si>
  <si>
    <t>ORD-296</t>
  </si>
  <si>
    <t>ORD-297</t>
  </si>
  <si>
    <t>ORD-298</t>
  </si>
  <si>
    <t>ORD-299</t>
  </si>
  <si>
    <t>ORD-300</t>
  </si>
  <si>
    <t>ORD-301</t>
  </si>
  <si>
    <t>ORD-302</t>
  </si>
  <si>
    <t>ORD-303</t>
  </si>
  <si>
    <t>ORD-304</t>
  </si>
  <si>
    <t>ORD-305</t>
  </si>
  <si>
    <t>ORD-306</t>
  </si>
  <si>
    <t>ORD-307</t>
  </si>
  <si>
    <t>ORD-308</t>
  </si>
  <si>
    <t>ORD-309</t>
  </si>
  <si>
    <t>ORD-310</t>
  </si>
  <si>
    <t>ORD-311</t>
  </si>
  <si>
    <t>ORD-312</t>
  </si>
  <si>
    <t>ORD-313</t>
  </si>
  <si>
    <t>ORD-314</t>
  </si>
  <si>
    <t>ORD-315</t>
  </si>
  <si>
    <t>ORD-316</t>
  </si>
  <si>
    <t>ORD-317</t>
  </si>
  <si>
    <t>ORD-318</t>
  </si>
  <si>
    <t>ORD-319</t>
  </si>
  <si>
    <t>ORD-320</t>
  </si>
  <si>
    <t>ORD-321</t>
  </si>
  <si>
    <t>ORD-322</t>
  </si>
  <si>
    <t>ORD-323</t>
  </si>
  <si>
    <t>ORD-324</t>
  </si>
  <si>
    <t>ORD-325</t>
  </si>
  <si>
    <t>ORD-326</t>
  </si>
  <si>
    <t>ORD-327</t>
  </si>
  <si>
    <t>ORD-328</t>
  </si>
  <si>
    <t>ORD-329</t>
  </si>
  <si>
    <t>ORD-330</t>
  </si>
  <si>
    <t>ORD-331</t>
  </si>
  <si>
    <t>ORD-332</t>
  </si>
  <si>
    <t>ORD-333</t>
  </si>
  <si>
    <t>ORD-334</t>
  </si>
  <si>
    <t>ORD-335</t>
  </si>
  <si>
    <t>ORD-336</t>
  </si>
  <si>
    <t>ORD-337</t>
  </si>
  <si>
    <t>ORD-338</t>
  </si>
  <si>
    <t>ORD-339</t>
  </si>
  <si>
    <t>ORD-340</t>
  </si>
  <si>
    <t>ORD-341</t>
  </si>
  <si>
    <t>ORD-342</t>
  </si>
  <si>
    <t>ORD-343</t>
  </si>
  <si>
    <t>ORD-344</t>
  </si>
  <si>
    <t>ORD-345</t>
  </si>
  <si>
    <t>ORD-346</t>
  </si>
  <si>
    <t>ORD-347</t>
  </si>
  <si>
    <t>ORD-348</t>
  </si>
  <si>
    <t>ORD-349</t>
  </si>
  <si>
    <t>ORD-350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</si>
</sst>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-&quot;$&quot;* #,##0.00_-;\-&quot;$&quot;* #,##0.00_-;_-&quot;$&quot;* &quot;-&quot;??_-;_-@"/>
  </numFmts>
  <fonts count="6">
    <font>
      <sz val="11.0"/>
      <color theme="1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0.0"/>
      <color theme="1"/>
      <name val="Arim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horizontal="left" readingOrder="0" shrinkToFit="0" vertical="center" wrapText="0"/>
    </xf>
    <xf borderId="0" fillId="0" fontId="3" numFmtId="165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Tipo_Mt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quip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cnic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nes_Servicio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6" displayName="Table3" name="Table3" id="2">
  <tableColumns count="3">
    <tableColumn name="ID_Tecnico" id="1"/>
    <tableColumn name="Nombre_Tecnico" id="2"/>
    <tableColumn name="Nivel" id="3"/>
  </tableColumns>
  <tableStyleInfo name="Tecnicos-style" showColumnStripes="0" showFirstColumn="1" showLastColumn="1" showRowStripes="1"/>
</table>
</file>

<file path=xl/tables/table2.xml><?xml version="1.0" encoding="utf-8"?>
<table xmlns="http://schemas.openxmlformats.org/spreadsheetml/2006/main" ref="A1:C7" displayName="Table4" name="Table4" id="4">
  <tableColumns count="3">
    <tableColumn name="ID_Equipo" id="1"/>
    <tableColumn name="Tipo_Equipo" id="2"/>
    <tableColumn name="Marca" id="3"/>
  </tableColumns>
  <tableStyleInfo name="Equipos-style" showColumnStripes="0" showFirstColumn="1" showLastColumn="1" showRowStripes="1"/>
</table>
</file>

<file path=xl/tables/table3.xml><?xml version="1.0" encoding="utf-8"?>
<table xmlns="http://schemas.openxmlformats.org/spreadsheetml/2006/main" ref="A1:C4" displayName="Table5" name="Table5" id="1">
  <tableColumns count="3">
    <tableColumn name="ID_Tipo" id="1"/>
    <tableColumn name="Categoria" id="2"/>
    <tableColumn name="Prioridad" id="3"/>
  </tableColumns>
  <tableStyleInfo name="Tipo_Mtto-style" showColumnStripes="0" showFirstColumn="1" showLastColumn="1" showRowStripes="1"/>
</table>
</file>

<file path=xl/tables/table4.xml><?xml version="1.0" encoding="utf-8"?>
<table xmlns="http://schemas.openxmlformats.org/spreadsheetml/2006/main" ref="A1:C15" displayName="Table6" name="Table6" id="3">
  <tableColumns count="3">
    <tableColumn name="ID_Cliente" id="1"/>
    <tableColumn name="Nombre_Hospital" id="2"/>
    <tableColumn name="Departamento" id="3"/>
  </tableColumns>
  <tableStyleInfo name="Clientes-style" showColumnStripes="0" showFirstColumn="1" showLastColumn="1" showRowStripes="1"/>
</table>
</file>

<file path=xl/tables/table5.xml><?xml version="1.0" encoding="utf-8"?>
<table xmlns="http://schemas.openxmlformats.org/spreadsheetml/2006/main" ref="A1:M351" displayName="Tabla_1" name="Tabla_1" id="5">
  <tableColumns count="13">
    <tableColumn name="ID_Orden" id="1"/>
    <tableColumn name="Fecha" id="2"/>
    <tableColumn name="ID_Cliente" id="3"/>
    <tableColumn name="ID_Equipo" id="4"/>
    <tableColumn name="ID_Tecnico" id="5"/>
    <tableColumn name="ID_Tipo" id="6"/>
    <tableColumn name="Costo_Reparacion" id="7"/>
    <tableColumn name="Horas_Trabajadas" id="8"/>
    <tableColumn name="Ubicacion" id="9"/>
    <tableColumn name="Nombre_Tecnico" id="10"/>
    <tableColumn name="Nombre_Hospital" id="11"/>
    <tableColumn name="Tipo_Equipo" id="12"/>
    <tableColumn name="Categoria_mtto" id="13"/>
  </tableColumns>
  <tableStyleInfo name="Ordenes_Servic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2" width="16.88"/>
    <col customWidth="1" min="3" max="26" width="8.63"/>
  </cols>
  <sheetData>
    <row r="1" ht="14.25" customHeight="1">
      <c r="A1" s="1" t="s">
        <v>3</v>
      </c>
      <c r="B1" s="1" t="s">
        <v>5</v>
      </c>
      <c r="C1" s="1" t="s">
        <v>9</v>
      </c>
    </row>
    <row r="2" ht="14.25" customHeight="1">
      <c r="A2" s="2" t="s">
        <v>11</v>
      </c>
      <c r="B2" s="2" t="s">
        <v>15</v>
      </c>
      <c r="C2" s="2" t="s">
        <v>19</v>
      </c>
    </row>
    <row r="3" ht="14.25" customHeight="1">
      <c r="A3" s="2" t="s">
        <v>25</v>
      </c>
      <c r="B3" s="2" t="s">
        <v>28</v>
      </c>
      <c r="C3" s="2" t="s">
        <v>32</v>
      </c>
    </row>
    <row r="4" ht="14.25" customHeight="1">
      <c r="A4" s="2" t="s">
        <v>33</v>
      </c>
      <c r="B4" s="2" t="s">
        <v>37</v>
      </c>
      <c r="C4" s="2" t="s">
        <v>41</v>
      </c>
    </row>
    <row r="5" ht="14.25" customHeight="1">
      <c r="A5" s="2" t="s">
        <v>45</v>
      </c>
      <c r="B5" s="2" t="s">
        <v>48</v>
      </c>
      <c r="C5" s="2" t="s">
        <v>32</v>
      </c>
    </row>
    <row r="6" ht="14.25" customHeight="1">
      <c r="A6" s="2" t="s">
        <v>51</v>
      </c>
      <c r="B6" s="2" t="s">
        <v>53</v>
      </c>
      <c r="C6" s="2" t="s">
        <v>41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57764CC1-EAC5-441F-A351-2F5BD52EB92B}" filter="1" showAutoFilter="1">
      <autoFilter ref="$A$1:$C$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13.0"/>
    <col customWidth="1" min="3" max="3" width="15.38"/>
    <col customWidth="1" min="4" max="26" width="8.63"/>
  </cols>
  <sheetData>
    <row r="1" ht="14.25" customHeight="1">
      <c r="A1" s="1" t="s">
        <v>1</v>
      </c>
      <c r="B1" s="1" t="s">
        <v>7</v>
      </c>
      <c r="C1" s="1" t="s">
        <v>12</v>
      </c>
    </row>
    <row r="2" ht="14.25" customHeight="1">
      <c r="A2" s="2" t="s">
        <v>17</v>
      </c>
      <c r="B2" s="2" t="s">
        <v>22</v>
      </c>
      <c r="C2" s="2" t="s">
        <v>29</v>
      </c>
    </row>
    <row r="3" ht="14.25" customHeight="1">
      <c r="A3" s="2" t="s">
        <v>36</v>
      </c>
      <c r="B3" s="2" t="s">
        <v>42</v>
      </c>
      <c r="C3" s="2" t="s">
        <v>47</v>
      </c>
    </row>
    <row r="4" ht="14.25" customHeight="1">
      <c r="A4" s="2" t="s">
        <v>63</v>
      </c>
      <c r="B4" s="2" t="s">
        <v>66</v>
      </c>
      <c r="C4" s="2" t="s">
        <v>69</v>
      </c>
    </row>
    <row r="5" ht="14.25" customHeight="1">
      <c r="A5" s="2" t="s">
        <v>71</v>
      </c>
      <c r="B5" s="2" t="s">
        <v>73</v>
      </c>
      <c r="C5" s="2" t="s">
        <v>76</v>
      </c>
    </row>
    <row r="6" ht="14.25" customHeight="1">
      <c r="A6" s="2" t="s">
        <v>79</v>
      </c>
      <c r="B6" s="2" t="s">
        <v>81</v>
      </c>
      <c r="C6" s="2" t="s">
        <v>84</v>
      </c>
    </row>
    <row r="7" ht="14.25" customHeight="1">
      <c r="A7" s="2" t="s">
        <v>87</v>
      </c>
      <c r="B7" s="2" t="s">
        <v>89</v>
      </c>
      <c r="C7" s="2" t="s">
        <v>92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6097E25C-F1E0-43A1-A77C-25291698863B}" filter="1" showAutoFilter="1">
      <autoFilter ref="$A$1:$C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25"/>
    <col customWidth="1" min="2" max="2" width="19.38"/>
    <col customWidth="1" min="3" max="3" width="12.5"/>
    <col customWidth="1" min="4" max="26" width="8.63"/>
  </cols>
  <sheetData>
    <row r="1" ht="14.25" customHeight="1">
      <c r="A1" s="1" t="s">
        <v>0</v>
      </c>
      <c r="B1" s="1" t="s">
        <v>4</v>
      </c>
      <c r="C1" s="1" t="s">
        <v>8</v>
      </c>
    </row>
    <row r="2" ht="14.25" customHeight="1">
      <c r="A2" s="2" t="s">
        <v>14</v>
      </c>
      <c r="B2" s="2" t="s">
        <v>16</v>
      </c>
      <c r="C2" s="2" t="s">
        <v>20</v>
      </c>
    </row>
    <row r="3" ht="14.25" customHeight="1">
      <c r="A3" s="2" t="s">
        <v>23</v>
      </c>
      <c r="B3" s="2" t="s">
        <v>26</v>
      </c>
      <c r="C3" s="2" t="s">
        <v>31</v>
      </c>
    </row>
    <row r="4" ht="14.25" customHeight="1">
      <c r="A4" s="2" t="s">
        <v>35</v>
      </c>
      <c r="B4" s="2" t="s">
        <v>39</v>
      </c>
      <c r="C4" s="2" t="s">
        <v>43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8EAD4A7B-C627-42FA-88DD-561D5D0BE160}" filter="1" showAutoFilter="1">
      <autoFilter ref="$A$1:$C$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30.13"/>
    <col customWidth="1" min="3" max="3" width="18.75"/>
    <col customWidth="1" min="4" max="26" width="8.63"/>
  </cols>
  <sheetData>
    <row r="1" ht="14.25" customHeight="1">
      <c r="A1" s="1" t="s">
        <v>2</v>
      </c>
      <c r="B1" s="1" t="s">
        <v>6</v>
      </c>
      <c r="C1" s="1" t="s">
        <v>10</v>
      </c>
    </row>
    <row r="2" ht="14.25" customHeight="1">
      <c r="A2" s="2" t="s">
        <v>13</v>
      </c>
      <c r="B2" s="2" t="s">
        <v>18</v>
      </c>
      <c r="C2" s="2" t="s">
        <v>21</v>
      </c>
    </row>
    <row r="3" ht="14.25" customHeight="1">
      <c r="A3" s="2" t="s">
        <v>24</v>
      </c>
      <c r="B3" s="2" t="s">
        <v>27</v>
      </c>
      <c r="C3" s="2" t="s">
        <v>30</v>
      </c>
    </row>
    <row r="4" ht="14.25" customHeight="1">
      <c r="A4" s="2" t="s">
        <v>34</v>
      </c>
      <c r="B4" s="2" t="s">
        <v>38</v>
      </c>
      <c r="C4" s="2" t="s">
        <v>40</v>
      </c>
    </row>
    <row r="5" ht="14.25" customHeight="1">
      <c r="A5" s="2" t="s">
        <v>44</v>
      </c>
      <c r="B5" s="2" t="s">
        <v>46</v>
      </c>
      <c r="C5" s="2" t="s">
        <v>49</v>
      </c>
    </row>
    <row r="6" ht="14.25" customHeight="1">
      <c r="A6" s="2" t="s">
        <v>50</v>
      </c>
      <c r="B6" s="2" t="s">
        <v>52</v>
      </c>
      <c r="C6" s="2" t="s">
        <v>54</v>
      </c>
    </row>
    <row r="7" ht="14.25" customHeight="1">
      <c r="A7" s="2" t="s">
        <v>55</v>
      </c>
      <c r="B7" s="2" t="s">
        <v>56</v>
      </c>
      <c r="C7" s="2" t="s">
        <v>57</v>
      </c>
    </row>
    <row r="8" ht="14.25" customHeight="1">
      <c r="A8" s="2" t="s">
        <v>58</v>
      </c>
      <c r="B8" s="2" t="s">
        <v>59</v>
      </c>
      <c r="C8" s="2" t="s">
        <v>60</v>
      </c>
    </row>
    <row r="9" ht="14.25" customHeight="1">
      <c r="A9" s="2" t="s">
        <v>61</v>
      </c>
      <c r="B9" s="2" t="s">
        <v>62</v>
      </c>
      <c r="C9" s="2" t="s">
        <v>64</v>
      </c>
    </row>
    <row r="10" ht="14.25" customHeight="1">
      <c r="A10" s="2" t="s">
        <v>65</v>
      </c>
      <c r="B10" s="2" t="s">
        <v>67</v>
      </c>
      <c r="C10" s="2" t="s">
        <v>68</v>
      </c>
    </row>
    <row r="11" ht="14.25" customHeight="1">
      <c r="A11" s="2" t="s">
        <v>70</v>
      </c>
      <c r="B11" s="2" t="s">
        <v>72</v>
      </c>
      <c r="C11" s="2" t="s">
        <v>74</v>
      </c>
    </row>
    <row r="12" ht="14.25" customHeight="1">
      <c r="A12" s="2" t="s">
        <v>75</v>
      </c>
      <c r="B12" s="2" t="s">
        <v>77</v>
      </c>
      <c r="C12" s="2" t="s">
        <v>78</v>
      </c>
    </row>
    <row r="13" ht="14.25" customHeight="1">
      <c r="A13" s="2" t="s">
        <v>80</v>
      </c>
      <c r="B13" s="2" t="s">
        <v>27</v>
      </c>
      <c r="C13" s="2" t="s">
        <v>82</v>
      </c>
    </row>
    <row r="14" ht="14.25" customHeight="1">
      <c r="A14" s="2" t="s">
        <v>83</v>
      </c>
      <c r="B14" s="2" t="s">
        <v>85</v>
      </c>
      <c r="C14" s="2" t="s">
        <v>86</v>
      </c>
    </row>
    <row r="15" ht="14.25" customHeight="1">
      <c r="A15" s="2" t="s">
        <v>88</v>
      </c>
      <c r="B15" s="2" t="s">
        <v>90</v>
      </c>
      <c r="C15" s="2" t="s">
        <v>91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5F9AE8AE-E78D-4B1C-B879-B0003EC3BE84}" filter="1" showAutoFilter="1">
      <autoFilter ref="$A$1:$C$1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2" width="13.88"/>
    <col customWidth="1" min="3" max="4" width="13.63"/>
    <col customWidth="1" min="5" max="5" width="14.38"/>
    <col customWidth="1" min="6" max="6" width="11.63"/>
    <col customWidth="1" min="7" max="7" width="24.38"/>
    <col customWidth="1" min="8" max="8" width="20.25"/>
    <col customWidth="1" min="9" max="9" width="23.38"/>
    <col customWidth="1" min="10" max="10" width="14.38"/>
    <col customWidth="1" min="11" max="11" width="23.63"/>
    <col customWidth="1" min="12" max="12" width="14.25"/>
    <col customWidth="1" min="13" max="13" width="21.38"/>
    <col customWidth="1" min="14" max="26" width="8.63"/>
  </cols>
  <sheetData>
    <row r="1" ht="14.25" customHeight="1">
      <c r="A1" s="3" t="s">
        <v>93</v>
      </c>
      <c r="B1" s="4" t="s">
        <v>94</v>
      </c>
      <c r="C1" s="3" t="s">
        <v>2</v>
      </c>
      <c r="D1" s="3" t="s">
        <v>1</v>
      </c>
      <c r="E1" s="3" t="s">
        <v>3</v>
      </c>
      <c r="F1" s="3" t="s">
        <v>0</v>
      </c>
      <c r="G1" s="5" t="s">
        <v>95</v>
      </c>
      <c r="H1" s="3" t="s">
        <v>96</v>
      </c>
      <c r="I1" s="6" t="s">
        <v>97</v>
      </c>
      <c r="J1" s="7" t="s">
        <v>5</v>
      </c>
      <c r="K1" s="8" t="s">
        <v>6</v>
      </c>
      <c r="L1" s="8" t="s">
        <v>7</v>
      </c>
      <c r="M1" s="8" t="s">
        <v>98</v>
      </c>
    </row>
    <row r="2" ht="14.25" customHeight="1">
      <c r="A2" s="9" t="s">
        <v>99</v>
      </c>
      <c r="B2" s="10">
        <v>45292.0</v>
      </c>
      <c r="C2" s="9" t="s">
        <v>24</v>
      </c>
      <c r="D2" s="9" t="s">
        <v>17</v>
      </c>
      <c r="E2" s="9" t="s">
        <v>33</v>
      </c>
      <c r="F2" s="9" t="s">
        <v>14</v>
      </c>
      <c r="G2" s="11">
        <v>1064.0</v>
      </c>
      <c r="H2" s="9">
        <v>3.0</v>
      </c>
      <c r="I2" s="12" t="str">
        <f t="array" ref="I2">_xlfn.XLOOKUP(C2, Clientes!A:A, Clientes!C:C) &amp; ", El Salvador"</f>
        <v>Santa Ana, El Salvador</v>
      </c>
      <c r="J2" s="13" t="str">
        <f t="array" ref="J2">_xlfn.XLOOKUP(E2, Tecnicos!A:A, Tecnicos!B:B)</f>
        <v>Juan Pérez</v>
      </c>
      <c r="K2" s="13" t="str">
        <f t="array" ref="K2">_xlfn.XLOOKUP(C2, Clientes!A:A, Clientes!B:B)</f>
        <v>Hospital San Juan de Dios</v>
      </c>
      <c r="L2" s="13" t="str">
        <f t="array" ref="L2">_xlfn.XLOOKUP(D2, Equipos!A:A, Equipos!B:B)</f>
        <v>Rayos X</v>
      </c>
      <c r="M2" s="9" t="str">
        <f t="array" ref="M2">_xlfn.XLOOKUP(F2, Tipo_Mtto!A:A, Tipo_Mtto!B:B)</f>
        <v>Preventivo Programado</v>
      </c>
    </row>
    <row r="3" ht="14.25" customHeight="1">
      <c r="A3" s="9" t="s">
        <v>100</v>
      </c>
      <c r="B3" s="10">
        <v>45294.0</v>
      </c>
      <c r="C3" s="9" t="s">
        <v>75</v>
      </c>
      <c r="D3" s="9" t="s">
        <v>87</v>
      </c>
      <c r="E3" s="9" t="s">
        <v>51</v>
      </c>
      <c r="F3" s="9" t="s">
        <v>14</v>
      </c>
      <c r="G3" s="11">
        <v>1878.0</v>
      </c>
      <c r="H3" s="9">
        <v>1.0</v>
      </c>
      <c r="I3" s="12" t="str">
        <f t="array" ref="I3">_xlfn.XLOOKUP(C3, Clientes!A:A, Clientes!C:C) &amp; ", El Salvador"</f>
        <v>Usulután, El Salvador</v>
      </c>
      <c r="J3" s="13" t="str">
        <f t="array" ref="J3">_xlfn.XLOOKUP(E3, Tecnicos!A:A, Tecnicos!B:B)</f>
        <v>Luis Martínez</v>
      </c>
      <c r="K3" s="13" t="str">
        <f t="array" ref="K3">_xlfn.XLOOKUP(C3, Clientes!A:A, Clientes!B:B)</f>
        <v>Hospital de Usulután</v>
      </c>
      <c r="L3" s="13" t="str">
        <f t="array" ref="L3">_xlfn.XLOOKUP(D3, Equipos!A:A, Equipos!B:B)</f>
        <v>Desfibrilador</v>
      </c>
      <c r="M3" s="9" t="str">
        <f t="array" ref="M3">_xlfn.XLOOKUP(F3, Tipo_Mtto!A:A, Tipo_Mtto!B:B)</f>
        <v>Preventivo Programado</v>
      </c>
    </row>
    <row r="4" ht="14.25" customHeight="1">
      <c r="A4" s="9" t="s">
        <v>101</v>
      </c>
      <c r="B4" s="10">
        <v>45298.0</v>
      </c>
      <c r="C4" s="9" t="s">
        <v>24</v>
      </c>
      <c r="D4" s="9" t="s">
        <v>36</v>
      </c>
      <c r="E4" s="9" t="s">
        <v>25</v>
      </c>
      <c r="F4" s="9" t="s">
        <v>35</v>
      </c>
      <c r="G4" s="11">
        <v>258.0</v>
      </c>
      <c r="H4" s="9">
        <v>9.0</v>
      </c>
      <c r="I4" s="12" t="str">
        <f t="array" ref="I4">_xlfn.XLOOKUP(C4, Clientes!A:A, Clientes!C:C) &amp; ", El Salvador"</f>
        <v>Santa Ana, El Salvador</v>
      </c>
      <c r="J4" s="13" t="str">
        <f t="array" ref="J4">_xlfn.XLOOKUP(E4, Tecnicos!A:A, Tecnicos!B:B)</f>
        <v>Sofía Rodas</v>
      </c>
      <c r="K4" s="13" t="str">
        <f t="array" ref="K4">_xlfn.XLOOKUP(C4, Clientes!A:A, Clientes!B:B)</f>
        <v>Hospital San Juan de Dios</v>
      </c>
      <c r="L4" s="13" t="str">
        <f t="array" ref="L4">_xlfn.XLOOKUP(D4, Equipos!A:A, Equipos!B:B)</f>
        <v>Ultrasonido</v>
      </c>
      <c r="M4" s="9" t="str">
        <f t="array" ref="M4">_xlfn.XLOOKUP(F4, Tipo_Mtto!A:A, Tipo_Mtto!B:B)</f>
        <v>Instalación</v>
      </c>
    </row>
    <row r="5" ht="14.25" customHeight="1">
      <c r="A5" s="9" t="s">
        <v>102</v>
      </c>
      <c r="B5" s="10">
        <v>45304.0</v>
      </c>
      <c r="C5" s="9" t="s">
        <v>80</v>
      </c>
      <c r="D5" s="9" t="s">
        <v>87</v>
      </c>
      <c r="E5" s="9" t="s">
        <v>51</v>
      </c>
      <c r="F5" s="9" t="s">
        <v>23</v>
      </c>
      <c r="G5" s="11">
        <v>1052.0</v>
      </c>
      <c r="H5" s="9">
        <v>8.0</v>
      </c>
      <c r="I5" s="12" t="str">
        <f t="array" ref="I5">_xlfn.XLOOKUP(C5, Clientes!A:A, Clientes!C:C) &amp; ", El Salvador"</f>
        <v>San Miguel, El Salvador</v>
      </c>
      <c r="J5" s="13" t="str">
        <f t="array" ref="J5">_xlfn.XLOOKUP(E5, Tecnicos!A:A, Tecnicos!B:B)</f>
        <v>Luis Martínez</v>
      </c>
      <c r="K5" s="13" t="str">
        <f t="array" ref="K5">_xlfn.XLOOKUP(C5, Clientes!A:A, Clientes!B:B)</f>
        <v>Hospital San Juan de Dios</v>
      </c>
      <c r="L5" s="13" t="str">
        <f t="array" ref="L5">_xlfn.XLOOKUP(D5, Equipos!A:A, Equipos!B:B)</f>
        <v>Desfibrilador</v>
      </c>
      <c r="M5" s="9" t="str">
        <f t="array" ref="M5">_xlfn.XLOOKUP(F5, Tipo_Mtto!A:A, Tipo_Mtto!B:B)</f>
        <v>Correctivo</v>
      </c>
    </row>
    <row r="6" ht="14.25" customHeight="1">
      <c r="A6" s="9" t="s">
        <v>103</v>
      </c>
      <c r="B6" s="10">
        <v>45305.0</v>
      </c>
      <c r="C6" s="9" t="s">
        <v>50</v>
      </c>
      <c r="D6" s="9" t="s">
        <v>17</v>
      </c>
      <c r="E6" s="9" t="s">
        <v>25</v>
      </c>
      <c r="F6" s="9" t="s">
        <v>35</v>
      </c>
      <c r="G6" s="11">
        <v>1881.0</v>
      </c>
      <c r="H6" s="9">
        <v>6.0</v>
      </c>
      <c r="I6" s="12" t="str">
        <f t="array" ref="I6">_xlfn.XLOOKUP(C6, Clientes!A:A, Clientes!C:C) &amp; ", El Salvador"</f>
        <v>La Libertad, El Salvador</v>
      </c>
      <c r="J6" s="13" t="str">
        <f t="array" ref="J6">_xlfn.XLOOKUP(E6, Tecnicos!A:A, Tecnicos!B:B)</f>
        <v>Sofía Rodas</v>
      </c>
      <c r="K6" s="13" t="str">
        <f t="array" ref="K6">_xlfn.XLOOKUP(C6, Clientes!A:A, Clientes!B:B)</f>
        <v>Hospital San Rafael</v>
      </c>
      <c r="L6" s="13" t="str">
        <f t="array" ref="L6">_xlfn.XLOOKUP(D6, Equipos!A:A, Equipos!B:B)</f>
        <v>Rayos X</v>
      </c>
      <c r="M6" s="9" t="str">
        <f t="array" ref="M6">_xlfn.XLOOKUP(F6, Tipo_Mtto!A:A, Tipo_Mtto!B:B)</f>
        <v>Instalación</v>
      </c>
    </row>
    <row r="7" ht="14.25" customHeight="1">
      <c r="A7" s="9" t="s">
        <v>104</v>
      </c>
      <c r="B7" s="10">
        <v>45308.0</v>
      </c>
      <c r="C7" s="9" t="s">
        <v>34</v>
      </c>
      <c r="D7" s="9" t="s">
        <v>36</v>
      </c>
      <c r="E7" s="9" t="s">
        <v>33</v>
      </c>
      <c r="F7" s="9" t="s">
        <v>14</v>
      </c>
      <c r="G7" s="11">
        <v>529.0</v>
      </c>
      <c r="H7" s="9">
        <v>7.0</v>
      </c>
      <c r="I7" s="12" t="str">
        <f t="array" ref="I7">_xlfn.XLOOKUP(C7, Clientes!A:A, Clientes!C:C) &amp; ", El Salvador"</f>
        <v>Sonsonate, El Salvador</v>
      </c>
      <c r="J7" s="13" t="str">
        <f t="array" ref="J7">_xlfn.XLOOKUP(E7, Tecnicos!A:A, Tecnicos!B:B)</f>
        <v>Juan Pérez</v>
      </c>
      <c r="K7" s="13" t="str">
        <f t="array" ref="K7">_xlfn.XLOOKUP(C7, Clientes!A:A, Clientes!B:B)</f>
        <v>Hospital Jorge Mazzini</v>
      </c>
      <c r="L7" s="13" t="str">
        <f t="array" ref="L7">_xlfn.XLOOKUP(D7, Equipos!A:A, Equipos!B:B)</f>
        <v>Ultrasonido</v>
      </c>
      <c r="M7" s="9" t="str">
        <f t="array" ref="M7">_xlfn.XLOOKUP(F7, Tipo_Mtto!A:A, Tipo_Mtto!B:B)</f>
        <v>Preventivo Programado</v>
      </c>
    </row>
    <row r="8" ht="14.25" customHeight="1">
      <c r="A8" s="9" t="s">
        <v>105</v>
      </c>
      <c r="B8" s="10">
        <v>45310.0</v>
      </c>
      <c r="C8" s="9" t="s">
        <v>55</v>
      </c>
      <c r="D8" s="9" t="s">
        <v>63</v>
      </c>
      <c r="E8" s="9" t="s">
        <v>51</v>
      </c>
      <c r="F8" s="9" t="s">
        <v>23</v>
      </c>
      <c r="G8" s="11">
        <v>327.0</v>
      </c>
      <c r="H8" s="9">
        <v>12.0</v>
      </c>
      <c r="I8" s="12" t="str">
        <f t="array" ref="I8">_xlfn.XLOOKUP(C8, Clientes!A:A, Clientes!C:C) &amp; ", El Salvador"</f>
        <v>San Salvador, El Salvador</v>
      </c>
      <c r="J8" s="13" t="str">
        <f t="array" ref="J8">_xlfn.XLOOKUP(E8, Tecnicos!A:A, Tecnicos!B:B)</f>
        <v>Luis Martínez</v>
      </c>
      <c r="K8" s="13" t="str">
        <f t="array" ref="K8">_xlfn.XLOOKUP(C8, Clientes!A:A, Clientes!B:B)</f>
        <v>Hospital Nacional Rosales</v>
      </c>
      <c r="L8" s="13" t="str">
        <f t="array" ref="L8">_xlfn.XLOOKUP(D8, Equipos!A:A, Equipos!B:B)</f>
        <v>Monitor</v>
      </c>
      <c r="M8" s="9" t="str">
        <f t="array" ref="M8">_xlfn.XLOOKUP(F8, Tipo_Mtto!A:A, Tipo_Mtto!B:B)</f>
        <v>Correctivo</v>
      </c>
    </row>
    <row r="9" ht="14.25" customHeight="1">
      <c r="A9" s="9" t="s">
        <v>106</v>
      </c>
      <c r="B9" s="10">
        <v>45314.0</v>
      </c>
      <c r="C9" s="9" t="s">
        <v>65</v>
      </c>
      <c r="D9" s="9" t="s">
        <v>17</v>
      </c>
      <c r="E9" s="9" t="s">
        <v>45</v>
      </c>
      <c r="F9" s="9" t="s">
        <v>14</v>
      </c>
      <c r="G9" s="11">
        <v>2411.0</v>
      </c>
      <c r="H9" s="9">
        <v>5.0</v>
      </c>
      <c r="I9" s="12" t="str">
        <f t="array" ref="I9">_xlfn.XLOOKUP(C9, Clientes!A:A, Clientes!C:C) &amp; ", El Salvador"</f>
        <v>Cabañas, El Salvador</v>
      </c>
      <c r="J9" s="13" t="str">
        <f t="array" ref="J9">_xlfn.XLOOKUP(E9, Tecnicos!A:A, Tecnicos!B:B)</f>
        <v>Elena Gómez</v>
      </c>
      <c r="K9" s="13" t="str">
        <f t="array" ref="K9">_xlfn.XLOOKUP(C9, Clientes!A:A, Clientes!B:B)</f>
        <v>Hospital de Sensuntepeque</v>
      </c>
      <c r="L9" s="13" t="str">
        <f t="array" ref="L9">_xlfn.XLOOKUP(D9, Equipos!A:A, Equipos!B:B)</f>
        <v>Rayos X</v>
      </c>
      <c r="M9" s="9" t="str">
        <f t="array" ref="M9">_xlfn.XLOOKUP(F9, Tipo_Mtto!A:A, Tipo_Mtto!B:B)</f>
        <v>Preventivo Programado</v>
      </c>
    </row>
    <row r="10" ht="14.25" customHeight="1">
      <c r="A10" s="9" t="s">
        <v>107</v>
      </c>
      <c r="B10" s="10">
        <v>45316.0</v>
      </c>
      <c r="C10" s="9" t="s">
        <v>70</v>
      </c>
      <c r="D10" s="9" t="s">
        <v>63</v>
      </c>
      <c r="E10" s="9" t="s">
        <v>51</v>
      </c>
      <c r="F10" s="9" t="s">
        <v>14</v>
      </c>
      <c r="G10" s="11">
        <v>434.0</v>
      </c>
      <c r="H10" s="9">
        <v>1.0</v>
      </c>
      <c r="I10" s="12" t="str">
        <f t="array" ref="I10">_xlfn.XLOOKUP(C10, Clientes!A:A, Clientes!C:C) &amp; ", El Salvador"</f>
        <v>San Vicente, El Salvador</v>
      </c>
      <c r="J10" s="13" t="str">
        <f t="array" ref="J10">_xlfn.XLOOKUP(E10, Tecnicos!A:A, Tecnicos!B:B)</f>
        <v>Luis Martínez</v>
      </c>
      <c r="K10" s="13" t="str">
        <f t="array" ref="K10">_xlfn.XLOOKUP(C10, Clientes!A:A, Clientes!B:B)</f>
        <v>Hospital Santa Gertrudis</v>
      </c>
      <c r="L10" s="13" t="str">
        <f t="array" ref="L10">_xlfn.XLOOKUP(D10, Equipos!A:A, Equipos!B:B)</f>
        <v>Monitor</v>
      </c>
      <c r="M10" s="9" t="str">
        <f t="array" ref="M10">_xlfn.XLOOKUP(F10, Tipo_Mtto!A:A, Tipo_Mtto!B:B)</f>
        <v>Preventivo Programado</v>
      </c>
    </row>
    <row r="11" ht="14.25" customHeight="1">
      <c r="A11" s="9" t="s">
        <v>108</v>
      </c>
      <c r="B11" s="10">
        <v>45322.0</v>
      </c>
      <c r="C11" s="9" t="s">
        <v>44</v>
      </c>
      <c r="D11" s="9" t="s">
        <v>63</v>
      </c>
      <c r="E11" s="9" t="s">
        <v>11</v>
      </c>
      <c r="F11" s="9" t="s">
        <v>14</v>
      </c>
      <c r="G11" s="11">
        <v>563.0</v>
      </c>
      <c r="H11" s="9">
        <v>7.0</v>
      </c>
      <c r="I11" s="12" t="str">
        <f t="array" ref="I11">_xlfn.XLOOKUP(C11, Clientes!A:A, Clientes!C:C) &amp; ", El Salvador"</f>
        <v>Chalatenango, El Salvador</v>
      </c>
      <c r="J11" s="13" t="str">
        <f t="array" ref="J11">_xlfn.XLOOKUP(E11, Tecnicos!A:A, Tecnicos!B:B)</f>
        <v>Carlos Mendoza</v>
      </c>
      <c r="K11" s="13" t="str">
        <f t="array" ref="K11">_xlfn.XLOOKUP(C11, Clientes!A:A, Clientes!B:B)</f>
        <v>Hospital Dr. Luis Edmundo Vásquez</v>
      </c>
      <c r="L11" s="13" t="str">
        <f t="array" ref="L11">_xlfn.XLOOKUP(D11, Equipos!A:A, Equipos!B:B)</f>
        <v>Monitor</v>
      </c>
      <c r="M11" s="9" t="str">
        <f t="array" ref="M11">_xlfn.XLOOKUP(F11, Tipo_Mtto!A:A, Tipo_Mtto!B:B)</f>
        <v>Preventivo Programado</v>
      </c>
    </row>
    <row r="12" ht="14.25" customHeight="1">
      <c r="A12" s="9" t="s">
        <v>109</v>
      </c>
      <c r="B12" s="10">
        <v>45326.0</v>
      </c>
      <c r="C12" s="9" t="s">
        <v>65</v>
      </c>
      <c r="D12" s="14" t="s">
        <v>17</v>
      </c>
      <c r="E12" s="9" t="s">
        <v>11</v>
      </c>
      <c r="F12" s="9" t="s">
        <v>14</v>
      </c>
      <c r="G12" s="11">
        <v>551.0</v>
      </c>
      <c r="H12" s="9">
        <v>6.0</v>
      </c>
      <c r="I12" s="12" t="str">
        <f t="array" ref="I12">_xlfn.XLOOKUP(C12, Clientes!A:A, Clientes!C:C) &amp; ", El Salvador"</f>
        <v>Cabañas, El Salvador</v>
      </c>
      <c r="J12" s="13" t="str">
        <f t="array" ref="J12">_xlfn.XLOOKUP(E12, Tecnicos!A:A, Tecnicos!B:B)</f>
        <v>Carlos Mendoza</v>
      </c>
      <c r="K12" s="13" t="str">
        <f t="array" ref="K12">_xlfn.XLOOKUP(C12, Clientes!A:A, Clientes!B:B)</f>
        <v>Hospital de Sensuntepeque</v>
      </c>
      <c r="L12" s="13" t="str">
        <f t="array" ref="L12">_xlfn.XLOOKUP(D12, Equipos!A:A, Equipos!B:B)</f>
        <v>Rayos X</v>
      </c>
      <c r="M12" s="9" t="str">
        <f t="array" ref="M12">_xlfn.XLOOKUP(F12, Tipo_Mtto!A:A, Tipo_Mtto!B:B)</f>
        <v>Preventivo Programado</v>
      </c>
    </row>
    <row r="13" ht="14.25" customHeight="1">
      <c r="A13" s="9" t="s">
        <v>110</v>
      </c>
      <c r="B13" s="10">
        <v>45331.0</v>
      </c>
      <c r="C13" s="9" t="s">
        <v>50</v>
      </c>
      <c r="D13" s="14" t="s">
        <v>17</v>
      </c>
      <c r="E13" s="9" t="s">
        <v>33</v>
      </c>
      <c r="F13" s="9" t="s">
        <v>35</v>
      </c>
      <c r="G13" s="11">
        <v>1346.0</v>
      </c>
      <c r="H13" s="9">
        <v>10.0</v>
      </c>
      <c r="I13" s="12" t="str">
        <f t="array" ref="I13">_xlfn.XLOOKUP(C13, Clientes!A:A, Clientes!C:C) &amp; ", El Salvador"</f>
        <v>La Libertad, El Salvador</v>
      </c>
      <c r="J13" s="13" t="str">
        <f t="array" ref="J13">_xlfn.XLOOKUP(E13, Tecnicos!A:A, Tecnicos!B:B)</f>
        <v>Juan Pérez</v>
      </c>
      <c r="K13" s="13" t="str">
        <f t="array" ref="K13">_xlfn.XLOOKUP(C13, Clientes!A:A, Clientes!B:B)</f>
        <v>Hospital San Rafael</v>
      </c>
      <c r="L13" s="13" t="str">
        <f t="array" ref="L13">_xlfn.XLOOKUP(D13, Equipos!A:A, Equipos!B:B)</f>
        <v>Rayos X</v>
      </c>
      <c r="M13" s="9" t="str">
        <f t="array" ref="M13">_xlfn.XLOOKUP(F13, Tipo_Mtto!A:A, Tipo_Mtto!B:B)</f>
        <v>Instalación</v>
      </c>
    </row>
    <row r="14" ht="14.25" customHeight="1">
      <c r="A14" s="9" t="s">
        <v>111</v>
      </c>
      <c r="B14" s="10">
        <v>45337.0</v>
      </c>
      <c r="C14" s="9" t="s">
        <v>50</v>
      </c>
      <c r="D14" s="14" t="s">
        <v>17</v>
      </c>
      <c r="E14" s="9" t="s">
        <v>25</v>
      </c>
      <c r="F14" s="9" t="s">
        <v>35</v>
      </c>
      <c r="G14" s="11">
        <v>1231.0</v>
      </c>
      <c r="H14" s="9">
        <v>11.0</v>
      </c>
      <c r="I14" s="12" t="str">
        <f t="array" ref="I14">_xlfn.XLOOKUP(C14, Clientes!A:A, Clientes!C:C) &amp; ", El Salvador"</f>
        <v>La Libertad, El Salvador</v>
      </c>
      <c r="J14" s="13" t="str">
        <f t="array" ref="J14">_xlfn.XLOOKUP(E14, Tecnicos!A:A, Tecnicos!B:B)</f>
        <v>Sofía Rodas</v>
      </c>
      <c r="K14" s="13" t="str">
        <f t="array" ref="K14">_xlfn.XLOOKUP(C14, Clientes!A:A, Clientes!B:B)</f>
        <v>Hospital San Rafael</v>
      </c>
      <c r="L14" s="13" t="str">
        <f t="array" ref="L14">_xlfn.XLOOKUP(D14, Equipos!A:A, Equipos!B:B)</f>
        <v>Rayos X</v>
      </c>
      <c r="M14" s="9" t="str">
        <f t="array" ref="M14">_xlfn.XLOOKUP(F14, Tipo_Mtto!A:A, Tipo_Mtto!B:B)</f>
        <v>Instalación</v>
      </c>
    </row>
    <row r="15" ht="14.25" customHeight="1">
      <c r="A15" s="9" t="s">
        <v>112</v>
      </c>
      <c r="B15" s="10">
        <v>45338.0</v>
      </c>
      <c r="C15" s="9" t="s">
        <v>50</v>
      </c>
      <c r="D15" s="14" t="s">
        <v>79</v>
      </c>
      <c r="E15" s="9" t="s">
        <v>45</v>
      </c>
      <c r="F15" s="9" t="s">
        <v>35</v>
      </c>
      <c r="G15" s="11">
        <v>959.0</v>
      </c>
      <c r="H15" s="9">
        <v>4.0</v>
      </c>
      <c r="I15" s="12" t="str">
        <f t="array" ref="I15">_xlfn.XLOOKUP(C15, Clientes!A:A, Clientes!C:C) &amp; ", El Salvador"</f>
        <v>La Libertad, El Salvador</v>
      </c>
      <c r="J15" s="13" t="str">
        <f t="array" ref="J15">_xlfn.XLOOKUP(E15, Tecnicos!A:A, Tecnicos!B:B)</f>
        <v>Elena Gómez</v>
      </c>
      <c r="K15" s="13" t="str">
        <f t="array" ref="K15">_xlfn.XLOOKUP(C15, Clientes!A:A, Clientes!B:B)</f>
        <v>Hospital San Rafael</v>
      </c>
      <c r="L15" s="13" t="str">
        <f t="array" ref="L15">_xlfn.XLOOKUP(D15, Equipos!A:A, Equipos!B:B)</f>
        <v>Incubadora</v>
      </c>
      <c r="M15" s="9" t="str">
        <f t="array" ref="M15">_xlfn.XLOOKUP(F15, Tipo_Mtto!A:A, Tipo_Mtto!B:B)</f>
        <v>Instalación</v>
      </c>
    </row>
    <row r="16" ht="14.25" customHeight="1">
      <c r="A16" s="9" t="s">
        <v>113</v>
      </c>
      <c r="B16" s="10">
        <v>45340.0</v>
      </c>
      <c r="C16" s="9" t="s">
        <v>61</v>
      </c>
      <c r="D16" s="14" t="s">
        <v>79</v>
      </c>
      <c r="E16" s="9" t="s">
        <v>25</v>
      </c>
      <c r="F16" s="9" t="s">
        <v>23</v>
      </c>
      <c r="G16" s="11">
        <v>1025.0</v>
      </c>
      <c r="H16" s="9">
        <v>2.0</v>
      </c>
      <c r="I16" s="12" t="str">
        <f t="array" ref="I16">_xlfn.XLOOKUP(C16, Clientes!A:A, Clientes!C:C) &amp; ", El Salvador"</f>
        <v>La Paz, El Salvador</v>
      </c>
      <c r="J16" s="13" t="str">
        <f t="array" ref="J16">_xlfn.XLOOKUP(E16, Tecnicos!A:A, Tecnicos!B:B)</f>
        <v>Sofía Rodas</v>
      </c>
      <c r="K16" s="13" t="str">
        <f t="array" ref="K16">_xlfn.XLOOKUP(C16, Clientes!A:A, Clientes!B:B)</f>
        <v>Hospital Santa Teresa</v>
      </c>
      <c r="L16" s="13" t="str">
        <f t="array" ref="L16">_xlfn.XLOOKUP(D16, Equipos!A:A, Equipos!B:B)</f>
        <v>Incubadora</v>
      </c>
      <c r="M16" s="9" t="str">
        <f t="array" ref="M16">_xlfn.XLOOKUP(F16, Tipo_Mtto!A:A, Tipo_Mtto!B:B)</f>
        <v>Correctivo</v>
      </c>
    </row>
    <row r="17" ht="14.25" customHeight="1">
      <c r="A17" s="9" t="s">
        <v>114</v>
      </c>
      <c r="B17" s="10">
        <v>45344.0</v>
      </c>
      <c r="C17" s="9" t="s">
        <v>24</v>
      </c>
      <c r="D17" s="14" t="s">
        <v>36</v>
      </c>
      <c r="E17" s="9" t="s">
        <v>45</v>
      </c>
      <c r="F17" s="9" t="s">
        <v>23</v>
      </c>
      <c r="G17" s="11">
        <v>2130.0</v>
      </c>
      <c r="H17" s="9">
        <v>1.0</v>
      </c>
      <c r="I17" s="12" t="str">
        <f t="array" ref="I17">_xlfn.XLOOKUP(C17, Clientes!A:A, Clientes!C:C) &amp; ", El Salvador"</f>
        <v>Santa Ana, El Salvador</v>
      </c>
      <c r="J17" s="13" t="str">
        <f t="array" ref="J17">_xlfn.XLOOKUP(E17, Tecnicos!A:A, Tecnicos!B:B)</f>
        <v>Elena Gómez</v>
      </c>
      <c r="K17" s="13" t="str">
        <f t="array" ref="K17">_xlfn.XLOOKUP(C17, Clientes!A:A, Clientes!B:B)</f>
        <v>Hospital San Juan de Dios</v>
      </c>
      <c r="L17" s="13" t="str">
        <f t="array" ref="L17">_xlfn.XLOOKUP(D17, Equipos!A:A, Equipos!B:B)</f>
        <v>Ultrasonido</v>
      </c>
      <c r="M17" s="9" t="str">
        <f t="array" ref="M17">_xlfn.XLOOKUP(F17, Tipo_Mtto!A:A, Tipo_Mtto!B:B)</f>
        <v>Correctivo</v>
      </c>
    </row>
    <row r="18" ht="14.25" customHeight="1">
      <c r="A18" s="9" t="s">
        <v>115</v>
      </c>
      <c r="B18" s="10">
        <v>45349.0</v>
      </c>
      <c r="C18" s="9" t="s">
        <v>70</v>
      </c>
      <c r="D18" s="14" t="s">
        <v>63</v>
      </c>
      <c r="E18" s="9" t="s">
        <v>51</v>
      </c>
      <c r="F18" s="9" t="s">
        <v>23</v>
      </c>
      <c r="G18" s="11">
        <v>1688.0</v>
      </c>
      <c r="H18" s="9">
        <v>12.0</v>
      </c>
      <c r="I18" s="12" t="str">
        <f t="array" ref="I18">_xlfn.XLOOKUP(C18, Clientes!A:A, Clientes!C:C) &amp; ", El Salvador"</f>
        <v>San Vicente, El Salvador</v>
      </c>
      <c r="J18" s="13" t="str">
        <f t="array" ref="J18">_xlfn.XLOOKUP(E18, Tecnicos!A:A, Tecnicos!B:B)</f>
        <v>Luis Martínez</v>
      </c>
      <c r="K18" s="13" t="str">
        <f t="array" ref="K18">_xlfn.XLOOKUP(C18, Clientes!A:A, Clientes!B:B)</f>
        <v>Hospital Santa Gertrudis</v>
      </c>
      <c r="L18" s="13" t="str">
        <f t="array" ref="L18">_xlfn.XLOOKUP(D18, Equipos!A:A, Equipos!B:B)</f>
        <v>Monitor</v>
      </c>
      <c r="M18" s="9" t="str">
        <f t="array" ref="M18">_xlfn.XLOOKUP(F18, Tipo_Mtto!A:A, Tipo_Mtto!B:B)</f>
        <v>Correctivo</v>
      </c>
    </row>
    <row r="19" ht="14.25" customHeight="1">
      <c r="A19" s="9" t="s">
        <v>116</v>
      </c>
      <c r="B19" s="10">
        <v>45355.0</v>
      </c>
      <c r="C19" s="9" t="s">
        <v>70</v>
      </c>
      <c r="D19" s="14" t="s">
        <v>87</v>
      </c>
      <c r="E19" s="9" t="s">
        <v>51</v>
      </c>
      <c r="F19" s="9" t="s">
        <v>23</v>
      </c>
      <c r="G19" s="11">
        <v>2481.0</v>
      </c>
      <c r="H19" s="9">
        <v>9.0</v>
      </c>
      <c r="I19" s="12" t="str">
        <f t="array" ref="I19">_xlfn.XLOOKUP(C19, Clientes!A:A, Clientes!C:C) &amp; ", El Salvador"</f>
        <v>San Vicente, El Salvador</v>
      </c>
      <c r="J19" s="13" t="str">
        <f t="array" ref="J19">_xlfn.XLOOKUP(E19, Tecnicos!A:A, Tecnicos!B:B)</f>
        <v>Luis Martínez</v>
      </c>
      <c r="K19" s="13" t="str">
        <f t="array" ref="K19">_xlfn.XLOOKUP(C19, Clientes!A:A, Clientes!B:B)</f>
        <v>Hospital Santa Gertrudis</v>
      </c>
      <c r="L19" s="13" t="str">
        <f t="array" ref="L19">_xlfn.XLOOKUP(D19, Equipos!A:A, Equipos!B:B)</f>
        <v>Desfibrilador</v>
      </c>
      <c r="M19" s="9" t="str">
        <f t="array" ref="M19">_xlfn.XLOOKUP(F19, Tipo_Mtto!A:A, Tipo_Mtto!B:B)</f>
        <v>Correctivo</v>
      </c>
    </row>
    <row r="20" ht="14.25" customHeight="1">
      <c r="A20" s="9" t="s">
        <v>117</v>
      </c>
      <c r="B20" s="10">
        <v>45358.0</v>
      </c>
      <c r="C20" s="9" t="s">
        <v>44</v>
      </c>
      <c r="D20" s="14" t="s">
        <v>17</v>
      </c>
      <c r="E20" s="9" t="s">
        <v>33</v>
      </c>
      <c r="F20" s="9" t="s">
        <v>35</v>
      </c>
      <c r="G20" s="11">
        <v>305.0</v>
      </c>
      <c r="H20" s="9">
        <v>8.0</v>
      </c>
      <c r="I20" s="12" t="str">
        <f t="array" ref="I20">_xlfn.XLOOKUP(C20, Clientes!A:A, Clientes!C:C) &amp; ", El Salvador"</f>
        <v>Chalatenango, El Salvador</v>
      </c>
      <c r="J20" s="13" t="str">
        <f t="array" ref="J20">_xlfn.XLOOKUP(E20, Tecnicos!A:A, Tecnicos!B:B)</f>
        <v>Juan Pérez</v>
      </c>
      <c r="K20" s="13" t="str">
        <f t="array" ref="K20">_xlfn.XLOOKUP(C20, Clientes!A:A, Clientes!B:B)</f>
        <v>Hospital Dr. Luis Edmundo Vásquez</v>
      </c>
      <c r="L20" s="13" t="str">
        <f t="array" ref="L20">_xlfn.XLOOKUP(D20, Equipos!A:A, Equipos!B:B)</f>
        <v>Rayos X</v>
      </c>
      <c r="M20" s="9" t="str">
        <f t="array" ref="M20">_xlfn.XLOOKUP(F20, Tipo_Mtto!A:A, Tipo_Mtto!B:B)</f>
        <v>Instalación</v>
      </c>
    </row>
    <row r="21" ht="14.25" customHeight="1">
      <c r="A21" s="9" t="s">
        <v>118</v>
      </c>
      <c r="B21" s="10">
        <v>45364.0</v>
      </c>
      <c r="C21" s="9" t="s">
        <v>50</v>
      </c>
      <c r="D21" s="14" t="s">
        <v>17</v>
      </c>
      <c r="E21" s="9" t="s">
        <v>25</v>
      </c>
      <c r="F21" s="9" t="s">
        <v>23</v>
      </c>
      <c r="G21" s="11">
        <v>1893.0</v>
      </c>
      <c r="H21" s="9">
        <v>12.0</v>
      </c>
      <c r="I21" s="12" t="str">
        <f t="array" ref="I21">_xlfn.XLOOKUP(C21, Clientes!A:A, Clientes!C:C) &amp; ", El Salvador"</f>
        <v>La Libertad, El Salvador</v>
      </c>
      <c r="J21" s="13" t="str">
        <f t="array" ref="J21">_xlfn.XLOOKUP(E21, Tecnicos!A:A, Tecnicos!B:B)</f>
        <v>Sofía Rodas</v>
      </c>
      <c r="K21" s="13" t="str">
        <f t="array" ref="K21">_xlfn.XLOOKUP(C21, Clientes!A:A, Clientes!B:B)</f>
        <v>Hospital San Rafael</v>
      </c>
      <c r="L21" s="13" t="str">
        <f t="array" ref="L21">_xlfn.XLOOKUP(D21, Equipos!A:A, Equipos!B:B)</f>
        <v>Rayos X</v>
      </c>
      <c r="M21" s="9" t="str">
        <f t="array" ref="M21">_xlfn.XLOOKUP(F21, Tipo_Mtto!A:A, Tipo_Mtto!B:B)</f>
        <v>Correctivo</v>
      </c>
    </row>
    <row r="22" ht="14.25" customHeight="1">
      <c r="A22" s="9" t="s">
        <v>119</v>
      </c>
      <c r="B22" s="10">
        <v>45367.0</v>
      </c>
      <c r="C22" s="9" t="s">
        <v>61</v>
      </c>
      <c r="D22" s="14" t="s">
        <v>36</v>
      </c>
      <c r="E22" s="9" t="s">
        <v>33</v>
      </c>
      <c r="F22" s="9" t="s">
        <v>35</v>
      </c>
      <c r="G22" s="11">
        <v>1394.0</v>
      </c>
      <c r="H22" s="9">
        <v>1.0</v>
      </c>
      <c r="I22" s="12" t="str">
        <f t="array" ref="I22">_xlfn.XLOOKUP(C22, Clientes!A:A, Clientes!C:C) &amp; ", El Salvador"</f>
        <v>La Paz, El Salvador</v>
      </c>
      <c r="J22" s="13" t="str">
        <f t="array" ref="J22">_xlfn.XLOOKUP(E22, Tecnicos!A:A, Tecnicos!B:B)</f>
        <v>Juan Pérez</v>
      </c>
      <c r="K22" s="13" t="str">
        <f t="array" ref="K22">_xlfn.XLOOKUP(C22, Clientes!A:A, Clientes!B:B)</f>
        <v>Hospital Santa Teresa</v>
      </c>
      <c r="L22" s="13" t="str">
        <f t="array" ref="L22">_xlfn.XLOOKUP(D22, Equipos!A:A, Equipos!B:B)</f>
        <v>Ultrasonido</v>
      </c>
      <c r="M22" s="9" t="str">
        <f t="array" ref="M22">_xlfn.XLOOKUP(F22, Tipo_Mtto!A:A, Tipo_Mtto!B:B)</f>
        <v>Instalación</v>
      </c>
    </row>
    <row r="23" ht="14.25" customHeight="1">
      <c r="A23" s="9" t="s">
        <v>120</v>
      </c>
      <c r="B23" s="10">
        <v>45371.0</v>
      </c>
      <c r="C23" s="9" t="s">
        <v>88</v>
      </c>
      <c r="D23" s="14" t="s">
        <v>79</v>
      </c>
      <c r="E23" s="9" t="s">
        <v>51</v>
      </c>
      <c r="F23" s="9" t="s">
        <v>14</v>
      </c>
      <c r="G23" s="11">
        <v>803.0</v>
      </c>
      <c r="H23" s="9">
        <v>12.0</v>
      </c>
      <c r="I23" s="12" t="str">
        <f t="array" ref="I23">_xlfn.XLOOKUP(C23, Clientes!A:A, Clientes!C:C) &amp; ", El Salvador"</f>
        <v>La Unión, El Salvador</v>
      </c>
      <c r="J23" s="13" t="str">
        <f t="array" ref="J23">_xlfn.XLOOKUP(E23, Tecnicos!A:A, Tecnicos!B:B)</f>
        <v>Luis Martínez</v>
      </c>
      <c r="K23" s="13" t="str">
        <f t="array" ref="K23">_xlfn.XLOOKUP(C23, Clientes!A:A, Clientes!B:B)</f>
        <v>Hospital de La Unión</v>
      </c>
      <c r="L23" s="13" t="str">
        <f t="array" ref="L23">_xlfn.XLOOKUP(D23, Equipos!A:A, Equipos!B:B)</f>
        <v>Incubadora</v>
      </c>
      <c r="M23" s="9" t="str">
        <f t="array" ref="M23">_xlfn.XLOOKUP(F23, Tipo_Mtto!A:A, Tipo_Mtto!B:B)</f>
        <v>Preventivo Programado</v>
      </c>
    </row>
    <row r="24" ht="14.25" customHeight="1">
      <c r="A24" s="9" t="s">
        <v>121</v>
      </c>
      <c r="B24" s="10">
        <v>45372.0</v>
      </c>
      <c r="C24" s="9" t="s">
        <v>44</v>
      </c>
      <c r="D24" s="14" t="s">
        <v>71</v>
      </c>
      <c r="E24" s="9" t="s">
        <v>25</v>
      </c>
      <c r="F24" s="9" t="s">
        <v>23</v>
      </c>
      <c r="G24" s="11">
        <v>1258.0</v>
      </c>
      <c r="H24" s="9">
        <v>6.0</v>
      </c>
      <c r="I24" s="12" t="str">
        <f t="array" ref="I24">_xlfn.XLOOKUP(C24, Clientes!A:A, Clientes!C:C) &amp; ", El Salvador"</f>
        <v>Chalatenango, El Salvador</v>
      </c>
      <c r="J24" s="13" t="str">
        <f t="array" ref="J24">_xlfn.XLOOKUP(E24, Tecnicos!A:A, Tecnicos!B:B)</f>
        <v>Sofía Rodas</v>
      </c>
      <c r="K24" s="13" t="str">
        <f t="array" ref="K24">_xlfn.XLOOKUP(C24, Clientes!A:A, Clientes!B:B)</f>
        <v>Hospital Dr. Luis Edmundo Vásquez</v>
      </c>
      <c r="L24" s="13" t="str">
        <f t="array" ref="L24">_xlfn.XLOOKUP(D24, Equipos!A:A, Equipos!B:B)</f>
        <v>Ventilador</v>
      </c>
      <c r="M24" s="9" t="str">
        <f t="array" ref="M24">_xlfn.XLOOKUP(F24, Tipo_Mtto!A:A, Tipo_Mtto!B:B)</f>
        <v>Correctivo</v>
      </c>
    </row>
    <row r="25" ht="14.25" customHeight="1">
      <c r="A25" s="9" t="s">
        <v>122</v>
      </c>
      <c r="B25" s="10">
        <v>45377.0</v>
      </c>
      <c r="C25" s="9" t="s">
        <v>75</v>
      </c>
      <c r="D25" s="14" t="s">
        <v>17</v>
      </c>
      <c r="E25" s="9" t="s">
        <v>45</v>
      </c>
      <c r="F25" s="9" t="s">
        <v>23</v>
      </c>
      <c r="G25" s="11">
        <v>1567.0</v>
      </c>
      <c r="H25" s="9">
        <v>8.0</v>
      </c>
      <c r="I25" s="12" t="str">
        <f t="array" ref="I25">_xlfn.XLOOKUP(C25, Clientes!A:A, Clientes!C:C) &amp; ", El Salvador"</f>
        <v>Usulután, El Salvador</v>
      </c>
      <c r="J25" s="13" t="str">
        <f t="array" ref="J25">_xlfn.XLOOKUP(E25, Tecnicos!A:A, Tecnicos!B:B)</f>
        <v>Elena Gómez</v>
      </c>
      <c r="K25" s="13" t="str">
        <f t="array" ref="K25">_xlfn.XLOOKUP(C25, Clientes!A:A, Clientes!B:B)</f>
        <v>Hospital de Usulután</v>
      </c>
      <c r="L25" s="13" t="str">
        <f t="array" ref="L25">_xlfn.XLOOKUP(D25, Equipos!A:A, Equipos!B:B)</f>
        <v>Rayos X</v>
      </c>
      <c r="M25" s="9" t="str">
        <f t="array" ref="M25">_xlfn.XLOOKUP(F25, Tipo_Mtto!A:A, Tipo_Mtto!B:B)</f>
        <v>Correctivo</v>
      </c>
    </row>
    <row r="26" ht="14.25" customHeight="1">
      <c r="A26" s="9" t="s">
        <v>123</v>
      </c>
      <c r="B26" s="10">
        <v>45378.0</v>
      </c>
      <c r="C26" s="9" t="s">
        <v>55</v>
      </c>
      <c r="D26" s="14" t="s">
        <v>36</v>
      </c>
      <c r="E26" s="9" t="s">
        <v>51</v>
      </c>
      <c r="F26" s="9" t="s">
        <v>35</v>
      </c>
      <c r="G26" s="11">
        <v>2426.0</v>
      </c>
      <c r="H26" s="9">
        <v>12.0</v>
      </c>
      <c r="I26" s="12" t="str">
        <f t="array" ref="I26">_xlfn.XLOOKUP(C26, Clientes!A:A, Clientes!C:C) &amp; ", El Salvador"</f>
        <v>San Salvador, El Salvador</v>
      </c>
      <c r="J26" s="13" t="str">
        <f t="array" ref="J26">_xlfn.XLOOKUP(E26, Tecnicos!A:A, Tecnicos!B:B)</f>
        <v>Luis Martínez</v>
      </c>
      <c r="K26" s="13" t="str">
        <f t="array" ref="K26">_xlfn.XLOOKUP(C26, Clientes!A:A, Clientes!B:B)</f>
        <v>Hospital Nacional Rosales</v>
      </c>
      <c r="L26" s="13" t="str">
        <f t="array" ref="L26">_xlfn.XLOOKUP(D26, Equipos!A:A, Equipos!B:B)</f>
        <v>Ultrasonido</v>
      </c>
      <c r="M26" s="9" t="str">
        <f t="array" ref="M26">_xlfn.XLOOKUP(F26, Tipo_Mtto!A:A, Tipo_Mtto!B:B)</f>
        <v>Instalación</v>
      </c>
    </row>
    <row r="27" ht="14.25" customHeight="1">
      <c r="A27" s="9" t="s">
        <v>124</v>
      </c>
      <c r="B27" s="10">
        <v>45380.0</v>
      </c>
      <c r="C27" s="9" t="s">
        <v>80</v>
      </c>
      <c r="D27" s="14" t="s">
        <v>71</v>
      </c>
      <c r="E27" s="9" t="s">
        <v>11</v>
      </c>
      <c r="F27" s="9" t="s">
        <v>23</v>
      </c>
      <c r="G27" s="11">
        <v>613.0</v>
      </c>
      <c r="H27" s="9">
        <v>6.0</v>
      </c>
      <c r="I27" s="12" t="str">
        <f t="array" ref="I27">_xlfn.XLOOKUP(C27, Clientes!A:A, Clientes!C:C) &amp; ", El Salvador"</f>
        <v>San Miguel, El Salvador</v>
      </c>
      <c r="J27" s="13" t="str">
        <f t="array" ref="J27">_xlfn.XLOOKUP(E27, Tecnicos!A:A, Tecnicos!B:B)</f>
        <v>Carlos Mendoza</v>
      </c>
      <c r="K27" s="13" t="str">
        <f t="array" ref="K27">_xlfn.XLOOKUP(C27, Clientes!A:A, Clientes!B:B)</f>
        <v>Hospital San Juan de Dios</v>
      </c>
      <c r="L27" s="13" t="str">
        <f t="array" ref="L27">_xlfn.XLOOKUP(D27, Equipos!A:A, Equipos!B:B)</f>
        <v>Ventilador</v>
      </c>
      <c r="M27" s="9" t="str">
        <f t="array" ref="M27">_xlfn.XLOOKUP(F27, Tipo_Mtto!A:A, Tipo_Mtto!B:B)</f>
        <v>Correctivo</v>
      </c>
    </row>
    <row r="28" ht="14.25" customHeight="1">
      <c r="A28" s="9" t="s">
        <v>125</v>
      </c>
      <c r="B28" s="10">
        <v>45384.0</v>
      </c>
      <c r="C28" s="9" t="s">
        <v>55</v>
      </c>
      <c r="D28" s="14" t="s">
        <v>17</v>
      </c>
      <c r="E28" s="9" t="s">
        <v>51</v>
      </c>
      <c r="F28" s="9" t="s">
        <v>14</v>
      </c>
      <c r="G28" s="11">
        <v>585.0</v>
      </c>
      <c r="H28" s="9">
        <v>8.0</v>
      </c>
      <c r="I28" s="12" t="str">
        <f t="array" ref="I28">_xlfn.XLOOKUP(C28, Clientes!A:A, Clientes!C:C) &amp; ", El Salvador"</f>
        <v>San Salvador, El Salvador</v>
      </c>
      <c r="J28" s="13" t="str">
        <f t="array" ref="J28">_xlfn.XLOOKUP(E28, Tecnicos!A:A, Tecnicos!B:B)</f>
        <v>Luis Martínez</v>
      </c>
      <c r="K28" s="13" t="str">
        <f t="array" ref="K28">_xlfn.XLOOKUP(C28, Clientes!A:A, Clientes!B:B)</f>
        <v>Hospital Nacional Rosales</v>
      </c>
      <c r="L28" s="13" t="str">
        <f t="array" ref="L28">_xlfn.XLOOKUP(D28, Equipos!A:A, Equipos!B:B)</f>
        <v>Rayos X</v>
      </c>
      <c r="M28" s="9" t="str">
        <f t="array" ref="M28">_xlfn.XLOOKUP(F28, Tipo_Mtto!A:A, Tipo_Mtto!B:B)</f>
        <v>Preventivo Programado</v>
      </c>
    </row>
    <row r="29" ht="14.25" customHeight="1">
      <c r="A29" s="9" t="s">
        <v>126</v>
      </c>
      <c r="B29" s="10">
        <v>45387.0</v>
      </c>
      <c r="C29" s="9" t="s">
        <v>83</v>
      </c>
      <c r="D29" s="14" t="s">
        <v>63</v>
      </c>
      <c r="E29" s="9" t="s">
        <v>33</v>
      </c>
      <c r="F29" s="9" t="s">
        <v>23</v>
      </c>
      <c r="G29" s="11">
        <v>2236.0</v>
      </c>
      <c r="H29" s="9">
        <v>1.0</v>
      </c>
      <c r="I29" s="12" t="str">
        <f t="array" ref="I29">_xlfn.XLOOKUP(C29, Clientes!A:A, Clientes!C:C) &amp; ", El Salvador"</f>
        <v>Morazán, El Salvador</v>
      </c>
      <c r="J29" s="13" t="str">
        <f t="array" ref="J29">_xlfn.XLOOKUP(E29, Tecnicos!A:A, Tecnicos!B:B)</f>
        <v>Juan Pérez</v>
      </c>
      <c r="K29" s="13" t="str">
        <f t="array" ref="K29">_xlfn.XLOOKUP(C29, Clientes!A:A, Clientes!B:B)</f>
        <v>Hospital de San Francisco Gotera</v>
      </c>
      <c r="L29" s="13" t="str">
        <f t="array" ref="L29">_xlfn.XLOOKUP(D29, Equipos!A:A, Equipos!B:B)</f>
        <v>Monitor</v>
      </c>
      <c r="M29" s="9" t="str">
        <f t="array" ref="M29">_xlfn.XLOOKUP(F29, Tipo_Mtto!A:A, Tipo_Mtto!B:B)</f>
        <v>Correctivo</v>
      </c>
    </row>
    <row r="30" ht="14.25" customHeight="1">
      <c r="A30" s="9" t="s">
        <v>127</v>
      </c>
      <c r="B30" s="10">
        <v>45390.0</v>
      </c>
      <c r="C30" s="9" t="s">
        <v>70</v>
      </c>
      <c r="D30" s="14" t="s">
        <v>63</v>
      </c>
      <c r="E30" s="9" t="s">
        <v>11</v>
      </c>
      <c r="F30" s="9" t="s">
        <v>35</v>
      </c>
      <c r="G30" s="11">
        <v>877.0</v>
      </c>
      <c r="H30" s="9">
        <v>1.0</v>
      </c>
      <c r="I30" s="12" t="str">
        <f t="array" ref="I30">_xlfn.XLOOKUP(C30, Clientes!A:A, Clientes!C:C) &amp; ", El Salvador"</f>
        <v>San Vicente, El Salvador</v>
      </c>
      <c r="J30" s="13" t="str">
        <f t="array" ref="J30">_xlfn.XLOOKUP(E30, Tecnicos!A:A, Tecnicos!B:B)</f>
        <v>Carlos Mendoza</v>
      </c>
      <c r="K30" s="13" t="str">
        <f t="array" ref="K30">_xlfn.XLOOKUP(C30, Clientes!A:A, Clientes!B:B)</f>
        <v>Hospital Santa Gertrudis</v>
      </c>
      <c r="L30" s="13" t="str">
        <f t="array" ref="L30">_xlfn.XLOOKUP(D30, Equipos!A:A, Equipos!B:B)</f>
        <v>Monitor</v>
      </c>
      <c r="M30" s="9" t="str">
        <f t="array" ref="M30">_xlfn.XLOOKUP(F30, Tipo_Mtto!A:A, Tipo_Mtto!B:B)</f>
        <v>Instalación</v>
      </c>
    </row>
    <row r="31" ht="14.25" customHeight="1">
      <c r="A31" s="9" t="s">
        <v>128</v>
      </c>
      <c r="B31" s="10">
        <v>45392.0</v>
      </c>
      <c r="C31" s="9" t="s">
        <v>75</v>
      </c>
      <c r="D31" s="14" t="s">
        <v>71</v>
      </c>
      <c r="E31" s="9" t="s">
        <v>33</v>
      </c>
      <c r="F31" s="9" t="s">
        <v>14</v>
      </c>
      <c r="G31" s="11">
        <v>1944.0</v>
      </c>
      <c r="H31" s="9">
        <v>3.0</v>
      </c>
      <c r="I31" s="12" t="str">
        <f t="array" ref="I31">_xlfn.XLOOKUP(C31, Clientes!A:A, Clientes!C:C) &amp; ", El Salvador"</f>
        <v>Usulután, El Salvador</v>
      </c>
      <c r="J31" s="13" t="str">
        <f t="array" ref="J31">_xlfn.XLOOKUP(E31, Tecnicos!A:A, Tecnicos!B:B)</f>
        <v>Juan Pérez</v>
      </c>
      <c r="K31" s="13" t="str">
        <f t="array" ref="K31">_xlfn.XLOOKUP(C31, Clientes!A:A, Clientes!B:B)</f>
        <v>Hospital de Usulután</v>
      </c>
      <c r="L31" s="13" t="str">
        <f t="array" ref="L31">_xlfn.XLOOKUP(D31, Equipos!A:A, Equipos!B:B)</f>
        <v>Ventilador</v>
      </c>
      <c r="M31" s="9" t="str">
        <f t="array" ref="M31">_xlfn.XLOOKUP(F31, Tipo_Mtto!A:A, Tipo_Mtto!B:B)</f>
        <v>Preventivo Programado</v>
      </c>
    </row>
    <row r="32" ht="14.25" customHeight="1">
      <c r="A32" s="9" t="s">
        <v>129</v>
      </c>
      <c r="B32" s="10">
        <v>45394.0</v>
      </c>
      <c r="C32" s="9" t="s">
        <v>13</v>
      </c>
      <c r="D32" s="14" t="s">
        <v>17</v>
      </c>
      <c r="E32" s="9" t="s">
        <v>11</v>
      </c>
      <c r="F32" s="9" t="s">
        <v>35</v>
      </c>
      <c r="G32" s="11">
        <v>1791.0</v>
      </c>
      <c r="H32" s="9">
        <v>5.0</v>
      </c>
      <c r="I32" s="12" t="str">
        <f t="array" ref="I32">_xlfn.XLOOKUP(C32, Clientes!A:A, Clientes!C:C) &amp; ", El Salvador"</f>
        <v>Ahuachapán, El Salvador</v>
      </c>
      <c r="J32" s="13" t="str">
        <f t="array" ref="J32">_xlfn.XLOOKUP(E32, Tecnicos!A:A, Tecnicos!B:B)</f>
        <v>Carlos Mendoza</v>
      </c>
      <c r="K32" s="13" t="str">
        <f t="array" ref="K32">_xlfn.XLOOKUP(C32, Clientes!A:A, Clientes!B:B)</f>
        <v>Hospital Nacional de Ahuachapán</v>
      </c>
      <c r="L32" s="13" t="str">
        <f t="array" ref="L32">_xlfn.XLOOKUP(D32, Equipos!A:A, Equipos!B:B)</f>
        <v>Rayos X</v>
      </c>
      <c r="M32" s="9" t="str">
        <f t="array" ref="M32">_xlfn.XLOOKUP(F32, Tipo_Mtto!A:A, Tipo_Mtto!B:B)</f>
        <v>Instalación</v>
      </c>
    </row>
    <row r="33" ht="14.25" customHeight="1">
      <c r="A33" s="9" t="s">
        <v>130</v>
      </c>
      <c r="B33" s="10">
        <v>45396.0</v>
      </c>
      <c r="C33" s="9" t="s">
        <v>58</v>
      </c>
      <c r="D33" s="14" t="s">
        <v>17</v>
      </c>
      <c r="E33" s="9" t="s">
        <v>25</v>
      </c>
      <c r="F33" s="9" t="s">
        <v>14</v>
      </c>
      <c r="G33" s="11">
        <v>927.0</v>
      </c>
      <c r="H33" s="9">
        <v>10.0</v>
      </c>
      <c r="I33" s="12" t="str">
        <f t="array" ref="I33">_xlfn.XLOOKUP(C33, Clientes!A:A, Clientes!C:C) &amp; ", El Salvador"</f>
        <v>Cuscatlán, El Salvador</v>
      </c>
      <c r="J33" s="13" t="str">
        <f t="array" ref="J33">_xlfn.XLOOKUP(E33, Tecnicos!A:A, Tecnicos!B:B)</f>
        <v>Sofía Rodas</v>
      </c>
      <c r="K33" s="13" t="str">
        <f t="array" ref="K33">_xlfn.XLOOKUP(C33, Clientes!A:A, Clientes!B:B)</f>
        <v>Hospital de Cojutepeque</v>
      </c>
      <c r="L33" s="13" t="str">
        <f t="array" ref="L33">_xlfn.XLOOKUP(D33, Equipos!A:A, Equipos!B:B)</f>
        <v>Rayos X</v>
      </c>
      <c r="M33" s="9" t="str">
        <f t="array" ref="M33">_xlfn.XLOOKUP(F33, Tipo_Mtto!A:A, Tipo_Mtto!B:B)</f>
        <v>Preventivo Programado</v>
      </c>
    </row>
    <row r="34" ht="14.25" customHeight="1">
      <c r="A34" s="9" t="s">
        <v>131</v>
      </c>
      <c r="B34" s="10">
        <v>45397.0</v>
      </c>
      <c r="C34" s="9" t="s">
        <v>83</v>
      </c>
      <c r="D34" s="14" t="s">
        <v>63</v>
      </c>
      <c r="E34" s="9" t="s">
        <v>11</v>
      </c>
      <c r="F34" s="9" t="s">
        <v>23</v>
      </c>
      <c r="G34" s="11">
        <v>887.0</v>
      </c>
      <c r="H34" s="9">
        <v>8.0</v>
      </c>
      <c r="I34" s="12" t="str">
        <f t="array" ref="I34">_xlfn.XLOOKUP(C34, Clientes!A:A, Clientes!C:C) &amp; ", El Salvador"</f>
        <v>Morazán, El Salvador</v>
      </c>
      <c r="J34" s="13" t="str">
        <f t="array" ref="J34">_xlfn.XLOOKUP(E34, Tecnicos!A:A, Tecnicos!B:B)</f>
        <v>Carlos Mendoza</v>
      </c>
      <c r="K34" s="13" t="str">
        <f t="array" ref="K34">_xlfn.XLOOKUP(C34, Clientes!A:A, Clientes!B:B)</f>
        <v>Hospital de San Francisco Gotera</v>
      </c>
      <c r="L34" s="13" t="str">
        <f t="array" ref="L34">_xlfn.XLOOKUP(D34, Equipos!A:A, Equipos!B:B)</f>
        <v>Monitor</v>
      </c>
      <c r="M34" s="9" t="str">
        <f t="array" ref="M34">_xlfn.XLOOKUP(F34, Tipo_Mtto!A:A, Tipo_Mtto!B:B)</f>
        <v>Correctivo</v>
      </c>
    </row>
    <row r="35" ht="14.25" customHeight="1">
      <c r="A35" s="9" t="s">
        <v>132</v>
      </c>
      <c r="B35" s="10">
        <v>45402.0</v>
      </c>
      <c r="C35" s="9" t="s">
        <v>50</v>
      </c>
      <c r="D35" s="14" t="s">
        <v>63</v>
      </c>
      <c r="E35" s="9" t="s">
        <v>51</v>
      </c>
      <c r="F35" s="9" t="s">
        <v>14</v>
      </c>
      <c r="G35" s="11">
        <v>1116.0</v>
      </c>
      <c r="H35" s="9">
        <v>5.0</v>
      </c>
      <c r="I35" s="12" t="str">
        <f t="array" ref="I35">_xlfn.XLOOKUP(C35, Clientes!A:A, Clientes!C:C) &amp; ", El Salvador"</f>
        <v>La Libertad, El Salvador</v>
      </c>
      <c r="J35" s="13" t="str">
        <f t="array" ref="J35">_xlfn.XLOOKUP(E35, Tecnicos!A:A, Tecnicos!B:B)</f>
        <v>Luis Martínez</v>
      </c>
      <c r="K35" s="13" t="str">
        <f t="array" ref="K35">_xlfn.XLOOKUP(C35, Clientes!A:A, Clientes!B:B)</f>
        <v>Hospital San Rafael</v>
      </c>
      <c r="L35" s="13" t="str">
        <f t="array" ref="L35">_xlfn.XLOOKUP(D35, Equipos!A:A, Equipos!B:B)</f>
        <v>Monitor</v>
      </c>
      <c r="M35" s="9" t="str">
        <f t="array" ref="M35">_xlfn.XLOOKUP(F35, Tipo_Mtto!A:A, Tipo_Mtto!B:B)</f>
        <v>Preventivo Programado</v>
      </c>
    </row>
    <row r="36" ht="14.25" customHeight="1">
      <c r="A36" s="9" t="s">
        <v>133</v>
      </c>
      <c r="B36" s="10">
        <v>45405.0</v>
      </c>
      <c r="C36" s="9" t="s">
        <v>13</v>
      </c>
      <c r="D36" s="14" t="s">
        <v>17</v>
      </c>
      <c r="E36" s="9" t="s">
        <v>11</v>
      </c>
      <c r="F36" s="9" t="s">
        <v>23</v>
      </c>
      <c r="G36" s="11">
        <v>2080.0</v>
      </c>
      <c r="H36" s="9">
        <v>9.0</v>
      </c>
      <c r="I36" s="12" t="str">
        <f t="array" ref="I36">_xlfn.XLOOKUP(C36, Clientes!A:A, Clientes!C:C) &amp; ", El Salvador"</f>
        <v>Ahuachapán, El Salvador</v>
      </c>
      <c r="J36" s="13" t="str">
        <f t="array" ref="J36">_xlfn.XLOOKUP(E36, Tecnicos!A:A, Tecnicos!B:B)</f>
        <v>Carlos Mendoza</v>
      </c>
      <c r="K36" s="13" t="str">
        <f t="array" ref="K36">_xlfn.XLOOKUP(C36, Clientes!A:A, Clientes!B:B)</f>
        <v>Hospital Nacional de Ahuachapán</v>
      </c>
      <c r="L36" s="13" t="str">
        <f t="array" ref="L36">_xlfn.XLOOKUP(D36, Equipos!A:A, Equipos!B:B)</f>
        <v>Rayos X</v>
      </c>
      <c r="M36" s="9" t="str">
        <f t="array" ref="M36">_xlfn.XLOOKUP(F36, Tipo_Mtto!A:A, Tipo_Mtto!B:B)</f>
        <v>Correctivo</v>
      </c>
    </row>
    <row r="37" ht="14.25" customHeight="1">
      <c r="A37" s="9" t="s">
        <v>134</v>
      </c>
      <c r="B37" s="10">
        <v>45411.0</v>
      </c>
      <c r="C37" s="9" t="s">
        <v>88</v>
      </c>
      <c r="D37" s="14" t="s">
        <v>71</v>
      </c>
      <c r="E37" s="9" t="s">
        <v>51</v>
      </c>
      <c r="F37" s="9" t="s">
        <v>35</v>
      </c>
      <c r="G37" s="11">
        <v>1502.0</v>
      </c>
      <c r="H37" s="9">
        <v>7.0</v>
      </c>
      <c r="I37" s="12" t="str">
        <f t="array" ref="I37">_xlfn.XLOOKUP(C37, Clientes!A:A, Clientes!C:C) &amp; ", El Salvador"</f>
        <v>La Unión, El Salvador</v>
      </c>
      <c r="J37" s="13" t="str">
        <f t="array" ref="J37">_xlfn.XLOOKUP(E37, Tecnicos!A:A, Tecnicos!B:B)</f>
        <v>Luis Martínez</v>
      </c>
      <c r="K37" s="13" t="str">
        <f t="array" ref="K37">_xlfn.XLOOKUP(C37, Clientes!A:A, Clientes!B:B)</f>
        <v>Hospital de La Unión</v>
      </c>
      <c r="L37" s="13" t="str">
        <f t="array" ref="L37">_xlfn.XLOOKUP(D37, Equipos!A:A, Equipos!B:B)</f>
        <v>Ventilador</v>
      </c>
      <c r="M37" s="9" t="str">
        <f t="array" ref="M37">_xlfn.XLOOKUP(F37, Tipo_Mtto!A:A, Tipo_Mtto!B:B)</f>
        <v>Instalación</v>
      </c>
    </row>
    <row r="38" ht="14.25" customHeight="1">
      <c r="A38" s="9" t="s">
        <v>135</v>
      </c>
      <c r="B38" s="10">
        <v>45415.0</v>
      </c>
      <c r="C38" s="9" t="s">
        <v>13</v>
      </c>
      <c r="D38" s="14" t="s">
        <v>17</v>
      </c>
      <c r="E38" s="9" t="s">
        <v>51</v>
      </c>
      <c r="F38" s="9" t="s">
        <v>35</v>
      </c>
      <c r="G38" s="11">
        <v>1466.0</v>
      </c>
      <c r="H38" s="9">
        <v>3.0</v>
      </c>
      <c r="I38" s="12" t="str">
        <f t="array" ref="I38">_xlfn.XLOOKUP(C38, Clientes!A:A, Clientes!C:C) &amp; ", El Salvador"</f>
        <v>Ahuachapán, El Salvador</v>
      </c>
      <c r="J38" s="13" t="str">
        <f t="array" ref="J38">_xlfn.XLOOKUP(E38, Tecnicos!A:A, Tecnicos!B:B)</f>
        <v>Luis Martínez</v>
      </c>
      <c r="K38" s="13" t="str">
        <f t="array" ref="K38">_xlfn.XLOOKUP(C38, Clientes!A:A, Clientes!B:B)</f>
        <v>Hospital Nacional de Ahuachapán</v>
      </c>
      <c r="L38" s="13" t="str">
        <f t="array" ref="L38">_xlfn.XLOOKUP(D38, Equipos!A:A, Equipos!B:B)</f>
        <v>Rayos X</v>
      </c>
      <c r="M38" s="9" t="str">
        <f t="array" ref="M38">_xlfn.XLOOKUP(F38, Tipo_Mtto!A:A, Tipo_Mtto!B:B)</f>
        <v>Instalación</v>
      </c>
    </row>
    <row r="39" ht="14.25" customHeight="1">
      <c r="A39" s="9" t="s">
        <v>136</v>
      </c>
      <c r="B39" s="10">
        <v>45418.0</v>
      </c>
      <c r="C39" s="9" t="s">
        <v>75</v>
      </c>
      <c r="D39" s="14" t="s">
        <v>71</v>
      </c>
      <c r="E39" s="9" t="s">
        <v>33</v>
      </c>
      <c r="F39" s="9" t="s">
        <v>14</v>
      </c>
      <c r="G39" s="11">
        <v>362.0</v>
      </c>
      <c r="H39" s="9">
        <v>2.0</v>
      </c>
      <c r="I39" s="12" t="str">
        <f t="array" ref="I39">_xlfn.XLOOKUP(C39, Clientes!A:A, Clientes!C:C) &amp; ", El Salvador"</f>
        <v>Usulután, El Salvador</v>
      </c>
      <c r="J39" s="13" t="str">
        <f t="array" ref="J39">_xlfn.XLOOKUP(E39, Tecnicos!A:A, Tecnicos!B:B)</f>
        <v>Juan Pérez</v>
      </c>
      <c r="K39" s="13" t="str">
        <f t="array" ref="K39">_xlfn.XLOOKUP(C39, Clientes!A:A, Clientes!B:B)</f>
        <v>Hospital de Usulután</v>
      </c>
      <c r="L39" s="13" t="str">
        <f t="array" ref="L39">_xlfn.XLOOKUP(D39, Equipos!A:A, Equipos!B:B)</f>
        <v>Ventilador</v>
      </c>
      <c r="M39" s="9" t="str">
        <f t="array" ref="M39">_xlfn.XLOOKUP(F39, Tipo_Mtto!A:A, Tipo_Mtto!B:B)</f>
        <v>Preventivo Programado</v>
      </c>
    </row>
    <row r="40" ht="14.25" customHeight="1">
      <c r="A40" s="9" t="s">
        <v>137</v>
      </c>
      <c r="B40" s="10">
        <v>45420.0</v>
      </c>
      <c r="C40" s="9" t="s">
        <v>34</v>
      </c>
      <c r="D40" s="14" t="s">
        <v>36</v>
      </c>
      <c r="E40" s="9" t="s">
        <v>25</v>
      </c>
      <c r="F40" s="9" t="s">
        <v>35</v>
      </c>
      <c r="G40" s="11">
        <v>166.0</v>
      </c>
      <c r="H40" s="9">
        <v>4.0</v>
      </c>
      <c r="I40" s="12" t="str">
        <f t="array" ref="I40">_xlfn.XLOOKUP(C40, Clientes!A:A, Clientes!C:C) &amp; ", El Salvador"</f>
        <v>Sonsonate, El Salvador</v>
      </c>
      <c r="J40" s="13" t="str">
        <f t="array" ref="J40">_xlfn.XLOOKUP(E40, Tecnicos!A:A, Tecnicos!B:B)</f>
        <v>Sofía Rodas</v>
      </c>
      <c r="K40" s="13" t="str">
        <f t="array" ref="K40">_xlfn.XLOOKUP(C40, Clientes!A:A, Clientes!B:B)</f>
        <v>Hospital Jorge Mazzini</v>
      </c>
      <c r="L40" s="13" t="str">
        <f t="array" ref="L40">_xlfn.XLOOKUP(D40, Equipos!A:A, Equipos!B:B)</f>
        <v>Ultrasonido</v>
      </c>
      <c r="M40" s="9" t="str">
        <f t="array" ref="M40">_xlfn.XLOOKUP(F40, Tipo_Mtto!A:A, Tipo_Mtto!B:B)</f>
        <v>Instalación</v>
      </c>
    </row>
    <row r="41" ht="14.25" customHeight="1">
      <c r="A41" s="9" t="s">
        <v>138</v>
      </c>
      <c r="B41" s="10">
        <v>45424.0</v>
      </c>
      <c r="C41" s="9" t="s">
        <v>80</v>
      </c>
      <c r="D41" s="14" t="s">
        <v>79</v>
      </c>
      <c r="E41" s="9" t="s">
        <v>33</v>
      </c>
      <c r="F41" s="9" t="s">
        <v>35</v>
      </c>
      <c r="G41" s="11">
        <v>1921.0</v>
      </c>
      <c r="H41" s="9">
        <v>2.0</v>
      </c>
      <c r="I41" s="12" t="str">
        <f t="array" ref="I41">_xlfn.XLOOKUP(C41, Clientes!A:A, Clientes!C:C) &amp; ", El Salvador"</f>
        <v>San Miguel, El Salvador</v>
      </c>
      <c r="J41" s="13" t="str">
        <f t="array" ref="J41">_xlfn.XLOOKUP(E41, Tecnicos!A:A, Tecnicos!B:B)</f>
        <v>Juan Pérez</v>
      </c>
      <c r="K41" s="13" t="str">
        <f t="array" ref="K41">_xlfn.XLOOKUP(C41, Clientes!A:A, Clientes!B:B)</f>
        <v>Hospital San Juan de Dios</v>
      </c>
      <c r="L41" s="13" t="str">
        <f t="array" ref="L41">_xlfn.XLOOKUP(D41, Equipos!A:A, Equipos!B:B)</f>
        <v>Incubadora</v>
      </c>
      <c r="M41" s="9" t="str">
        <f t="array" ref="M41">_xlfn.XLOOKUP(F41, Tipo_Mtto!A:A, Tipo_Mtto!B:B)</f>
        <v>Instalación</v>
      </c>
    </row>
    <row r="42" ht="14.25" customHeight="1">
      <c r="A42" s="9" t="s">
        <v>139</v>
      </c>
      <c r="B42" s="10">
        <v>45430.0</v>
      </c>
      <c r="C42" s="9" t="s">
        <v>58</v>
      </c>
      <c r="D42" s="14" t="s">
        <v>87</v>
      </c>
      <c r="E42" s="9" t="s">
        <v>25</v>
      </c>
      <c r="F42" s="9" t="s">
        <v>14</v>
      </c>
      <c r="G42" s="11">
        <v>551.0</v>
      </c>
      <c r="H42" s="9">
        <v>9.0</v>
      </c>
      <c r="I42" s="12" t="str">
        <f t="array" ref="I42">_xlfn.XLOOKUP(C42, Clientes!A:A, Clientes!C:C) &amp; ", El Salvador"</f>
        <v>Cuscatlán, El Salvador</v>
      </c>
      <c r="J42" s="13" t="str">
        <f t="array" ref="J42">_xlfn.XLOOKUP(E42, Tecnicos!A:A, Tecnicos!B:B)</f>
        <v>Sofía Rodas</v>
      </c>
      <c r="K42" s="13" t="str">
        <f t="array" ref="K42">_xlfn.XLOOKUP(C42, Clientes!A:A, Clientes!B:B)</f>
        <v>Hospital de Cojutepeque</v>
      </c>
      <c r="L42" s="13" t="str">
        <f t="array" ref="L42">_xlfn.XLOOKUP(D42, Equipos!A:A, Equipos!B:B)</f>
        <v>Desfibrilador</v>
      </c>
      <c r="M42" s="9" t="str">
        <f t="array" ref="M42">_xlfn.XLOOKUP(F42, Tipo_Mtto!A:A, Tipo_Mtto!B:B)</f>
        <v>Preventivo Programado</v>
      </c>
    </row>
    <row r="43" ht="14.25" customHeight="1">
      <c r="A43" s="9" t="s">
        <v>140</v>
      </c>
      <c r="B43" s="10">
        <v>45433.0</v>
      </c>
      <c r="C43" s="9" t="s">
        <v>58</v>
      </c>
      <c r="D43" s="14" t="s">
        <v>71</v>
      </c>
      <c r="E43" s="9" t="s">
        <v>45</v>
      </c>
      <c r="F43" s="9" t="s">
        <v>23</v>
      </c>
      <c r="G43" s="11">
        <v>1925.0</v>
      </c>
      <c r="H43" s="9">
        <v>7.0</v>
      </c>
      <c r="I43" s="12" t="str">
        <f t="array" ref="I43">_xlfn.XLOOKUP(C43, Clientes!A:A, Clientes!C:C) &amp; ", El Salvador"</f>
        <v>Cuscatlán, El Salvador</v>
      </c>
      <c r="J43" s="13" t="str">
        <f t="array" ref="J43">_xlfn.XLOOKUP(E43, Tecnicos!A:A, Tecnicos!B:B)</f>
        <v>Elena Gómez</v>
      </c>
      <c r="K43" s="13" t="str">
        <f t="array" ref="K43">_xlfn.XLOOKUP(C43, Clientes!A:A, Clientes!B:B)</f>
        <v>Hospital de Cojutepeque</v>
      </c>
      <c r="L43" s="13" t="str">
        <f t="array" ref="L43">_xlfn.XLOOKUP(D43, Equipos!A:A, Equipos!B:B)</f>
        <v>Ventilador</v>
      </c>
      <c r="M43" s="9" t="str">
        <f t="array" ref="M43">_xlfn.XLOOKUP(F43, Tipo_Mtto!A:A, Tipo_Mtto!B:B)</f>
        <v>Correctivo</v>
      </c>
    </row>
    <row r="44" ht="14.25" customHeight="1">
      <c r="A44" s="9" t="s">
        <v>141</v>
      </c>
      <c r="B44" s="10">
        <v>45434.0</v>
      </c>
      <c r="C44" s="9" t="s">
        <v>88</v>
      </c>
      <c r="D44" s="14" t="s">
        <v>36</v>
      </c>
      <c r="E44" s="9" t="s">
        <v>11</v>
      </c>
      <c r="F44" s="9" t="s">
        <v>14</v>
      </c>
      <c r="G44" s="11">
        <v>341.0</v>
      </c>
      <c r="H44" s="9">
        <v>2.0</v>
      </c>
      <c r="I44" s="12" t="str">
        <f t="array" ref="I44">_xlfn.XLOOKUP(C44, Clientes!A:A, Clientes!C:C) &amp; ", El Salvador"</f>
        <v>La Unión, El Salvador</v>
      </c>
      <c r="J44" s="13" t="str">
        <f t="array" ref="J44">_xlfn.XLOOKUP(E44, Tecnicos!A:A, Tecnicos!B:B)</f>
        <v>Carlos Mendoza</v>
      </c>
      <c r="K44" s="13" t="str">
        <f t="array" ref="K44">_xlfn.XLOOKUP(C44, Clientes!A:A, Clientes!B:B)</f>
        <v>Hospital de La Unión</v>
      </c>
      <c r="L44" s="13" t="str">
        <f t="array" ref="L44">_xlfn.XLOOKUP(D44, Equipos!A:A, Equipos!B:B)</f>
        <v>Ultrasonido</v>
      </c>
      <c r="M44" s="9" t="str">
        <f t="array" ref="M44">_xlfn.XLOOKUP(F44, Tipo_Mtto!A:A, Tipo_Mtto!B:B)</f>
        <v>Preventivo Programado</v>
      </c>
    </row>
    <row r="45" ht="14.25" customHeight="1">
      <c r="A45" s="9" t="s">
        <v>142</v>
      </c>
      <c r="B45" s="10">
        <v>45438.0</v>
      </c>
      <c r="C45" s="9" t="s">
        <v>13</v>
      </c>
      <c r="D45" s="14" t="s">
        <v>36</v>
      </c>
      <c r="E45" s="9" t="s">
        <v>45</v>
      </c>
      <c r="F45" s="9" t="s">
        <v>35</v>
      </c>
      <c r="G45" s="11">
        <v>2183.0</v>
      </c>
      <c r="H45" s="9">
        <v>1.0</v>
      </c>
      <c r="I45" s="12" t="str">
        <f t="array" ref="I45">_xlfn.XLOOKUP(C45, Clientes!A:A, Clientes!C:C) &amp; ", El Salvador"</f>
        <v>Ahuachapán, El Salvador</v>
      </c>
      <c r="J45" s="13" t="str">
        <f t="array" ref="J45">_xlfn.XLOOKUP(E45, Tecnicos!A:A, Tecnicos!B:B)</f>
        <v>Elena Gómez</v>
      </c>
      <c r="K45" s="13" t="str">
        <f t="array" ref="K45">_xlfn.XLOOKUP(C45, Clientes!A:A, Clientes!B:B)</f>
        <v>Hospital Nacional de Ahuachapán</v>
      </c>
      <c r="L45" s="13" t="str">
        <f t="array" ref="L45">_xlfn.XLOOKUP(D45, Equipos!A:A, Equipos!B:B)</f>
        <v>Ultrasonido</v>
      </c>
      <c r="M45" s="9" t="str">
        <f t="array" ref="M45">_xlfn.XLOOKUP(F45, Tipo_Mtto!A:A, Tipo_Mtto!B:B)</f>
        <v>Instalación</v>
      </c>
    </row>
    <row r="46" ht="14.25" customHeight="1">
      <c r="A46" s="9" t="s">
        <v>143</v>
      </c>
      <c r="B46" s="10">
        <v>45443.0</v>
      </c>
      <c r="C46" s="9" t="s">
        <v>75</v>
      </c>
      <c r="D46" s="14" t="s">
        <v>17</v>
      </c>
      <c r="E46" s="9" t="s">
        <v>11</v>
      </c>
      <c r="F46" s="9" t="s">
        <v>35</v>
      </c>
      <c r="G46" s="11">
        <v>2101.0</v>
      </c>
      <c r="H46" s="9">
        <v>7.0</v>
      </c>
      <c r="I46" s="12" t="str">
        <f t="array" ref="I46">_xlfn.XLOOKUP(C46, Clientes!A:A, Clientes!C:C) &amp; ", El Salvador"</f>
        <v>Usulután, El Salvador</v>
      </c>
      <c r="J46" s="13" t="str">
        <f t="array" ref="J46">_xlfn.XLOOKUP(E46, Tecnicos!A:A, Tecnicos!B:B)</f>
        <v>Carlos Mendoza</v>
      </c>
      <c r="K46" s="13" t="str">
        <f t="array" ref="K46">_xlfn.XLOOKUP(C46, Clientes!A:A, Clientes!B:B)</f>
        <v>Hospital de Usulután</v>
      </c>
      <c r="L46" s="13" t="str">
        <f t="array" ref="L46">_xlfn.XLOOKUP(D46, Equipos!A:A, Equipos!B:B)</f>
        <v>Rayos X</v>
      </c>
      <c r="M46" s="9" t="str">
        <f t="array" ref="M46">_xlfn.XLOOKUP(F46, Tipo_Mtto!A:A, Tipo_Mtto!B:B)</f>
        <v>Instalación</v>
      </c>
    </row>
    <row r="47" ht="14.25" customHeight="1">
      <c r="A47" s="9" t="s">
        <v>144</v>
      </c>
      <c r="B47" s="10">
        <v>45446.0</v>
      </c>
      <c r="C47" s="9" t="s">
        <v>58</v>
      </c>
      <c r="D47" s="14" t="s">
        <v>87</v>
      </c>
      <c r="E47" s="9" t="s">
        <v>33</v>
      </c>
      <c r="F47" s="9" t="s">
        <v>14</v>
      </c>
      <c r="G47" s="11">
        <v>449.0</v>
      </c>
      <c r="H47" s="9">
        <v>12.0</v>
      </c>
      <c r="I47" s="12" t="str">
        <f t="array" ref="I47">_xlfn.XLOOKUP(C47, Clientes!A:A, Clientes!C:C) &amp; ", El Salvador"</f>
        <v>Cuscatlán, El Salvador</v>
      </c>
      <c r="J47" s="13" t="str">
        <f t="array" ref="J47">_xlfn.XLOOKUP(E47, Tecnicos!A:A, Tecnicos!B:B)</f>
        <v>Juan Pérez</v>
      </c>
      <c r="K47" s="13" t="str">
        <f t="array" ref="K47">_xlfn.XLOOKUP(C47, Clientes!A:A, Clientes!B:B)</f>
        <v>Hospital de Cojutepeque</v>
      </c>
      <c r="L47" s="13" t="str">
        <f t="array" ref="L47">_xlfn.XLOOKUP(D47, Equipos!A:A, Equipos!B:B)</f>
        <v>Desfibrilador</v>
      </c>
      <c r="M47" s="9" t="str">
        <f t="array" ref="M47">_xlfn.XLOOKUP(F47, Tipo_Mtto!A:A, Tipo_Mtto!B:B)</f>
        <v>Preventivo Programado</v>
      </c>
    </row>
    <row r="48" ht="14.25" customHeight="1">
      <c r="A48" s="9" t="s">
        <v>145</v>
      </c>
      <c r="B48" s="10">
        <v>45448.0</v>
      </c>
      <c r="C48" s="9" t="s">
        <v>24</v>
      </c>
      <c r="D48" s="14" t="s">
        <v>36</v>
      </c>
      <c r="E48" s="9" t="s">
        <v>25</v>
      </c>
      <c r="F48" s="9" t="s">
        <v>14</v>
      </c>
      <c r="G48" s="11">
        <v>1900.0</v>
      </c>
      <c r="H48" s="9">
        <v>11.0</v>
      </c>
      <c r="I48" s="12" t="str">
        <f t="array" ref="I48">_xlfn.XLOOKUP(C48, Clientes!A:A, Clientes!C:C) &amp; ", El Salvador"</f>
        <v>Santa Ana, El Salvador</v>
      </c>
      <c r="J48" s="13" t="str">
        <f t="array" ref="J48">_xlfn.XLOOKUP(E48, Tecnicos!A:A, Tecnicos!B:B)</f>
        <v>Sofía Rodas</v>
      </c>
      <c r="K48" s="13" t="str">
        <f t="array" ref="K48">_xlfn.XLOOKUP(C48, Clientes!A:A, Clientes!B:B)</f>
        <v>Hospital San Juan de Dios</v>
      </c>
      <c r="L48" s="13" t="str">
        <f t="array" ref="L48">_xlfn.XLOOKUP(D48, Equipos!A:A, Equipos!B:B)</f>
        <v>Ultrasonido</v>
      </c>
      <c r="M48" s="9" t="str">
        <f t="array" ref="M48">_xlfn.XLOOKUP(F48, Tipo_Mtto!A:A, Tipo_Mtto!B:B)</f>
        <v>Preventivo Programado</v>
      </c>
    </row>
    <row r="49" ht="14.25" customHeight="1">
      <c r="A49" s="9" t="s">
        <v>146</v>
      </c>
      <c r="B49" s="10">
        <v>45451.0</v>
      </c>
      <c r="C49" s="9" t="s">
        <v>61</v>
      </c>
      <c r="D49" s="14" t="s">
        <v>87</v>
      </c>
      <c r="E49" s="9" t="s">
        <v>45</v>
      </c>
      <c r="F49" s="9" t="s">
        <v>35</v>
      </c>
      <c r="G49" s="11">
        <v>1728.0</v>
      </c>
      <c r="H49" s="9">
        <v>8.0</v>
      </c>
      <c r="I49" s="12" t="str">
        <f t="array" ref="I49">_xlfn.XLOOKUP(C49, Clientes!A:A, Clientes!C:C) &amp; ", El Salvador"</f>
        <v>La Paz, El Salvador</v>
      </c>
      <c r="J49" s="13" t="str">
        <f t="array" ref="J49">_xlfn.XLOOKUP(E49, Tecnicos!A:A, Tecnicos!B:B)</f>
        <v>Elena Gómez</v>
      </c>
      <c r="K49" s="13" t="str">
        <f t="array" ref="K49">_xlfn.XLOOKUP(C49, Clientes!A:A, Clientes!B:B)</f>
        <v>Hospital Santa Teresa</v>
      </c>
      <c r="L49" s="13" t="str">
        <f t="array" ref="L49">_xlfn.XLOOKUP(D49, Equipos!A:A, Equipos!B:B)</f>
        <v>Desfibrilador</v>
      </c>
      <c r="M49" s="9" t="str">
        <f t="array" ref="M49">_xlfn.XLOOKUP(F49, Tipo_Mtto!A:A, Tipo_Mtto!B:B)</f>
        <v>Instalación</v>
      </c>
    </row>
    <row r="50" ht="14.25" customHeight="1">
      <c r="A50" s="9" t="s">
        <v>147</v>
      </c>
      <c r="B50" s="10">
        <v>45453.0</v>
      </c>
      <c r="C50" s="9" t="s">
        <v>88</v>
      </c>
      <c r="D50" s="14" t="s">
        <v>36</v>
      </c>
      <c r="E50" s="9" t="s">
        <v>45</v>
      </c>
      <c r="F50" s="9" t="s">
        <v>35</v>
      </c>
      <c r="G50" s="11">
        <v>866.0</v>
      </c>
      <c r="H50" s="9">
        <v>12.0</v>
      </c>
      <c r="I50" s="12" t="str">
        <f t="array" ref="I50">_xlfn.XLOOKUP(C50, Clientes!A:A, Clientes!C:C) &amp; ", El Salvador"</f>
        <v>La Unión, El Salvador</v>
      </c>
      <c r="J50" s="13" t="str">
        <f t="array" ref="J50">_xlfn.XLOOKUP(E50, Tecnicos!A:A, Tecnicos!B:B)</f>
        <v>Elena Gómez</v>
      </c>
      <c r="K50" s="13" t="str">
        <f t="array" ref="K50">_xlfn.XLOOKUP(C50, Clientes!A:A, Clientes!B:B)</f>
        <v>Hospital de La Unión</v>
      </c>
      <c r="L50" s="13" t="str">
        <f t="array" ref="L50">_xlfn.XLOOKUP(D50, Equipos!A:A, Equipos!B:B)</f>
        <v>Ultrasonido</v>
      </c>
      <c r="M50" s="9" t="str">
        <f t="array" ref="M50">_xlfn.XLOOKUP(F50, Tipo_Mtto!A:A, Tipo_Mtto!B:B)</f>
        <v>Instalación</v>
      </c>
    </row>
    <row r="51" ht="14.25" customHeight="1">
      <c r="A51" s="9" t="s">
        <v>148</v>
      </c>
      <c r="B51" s="10">
        <v>45458.0</v>
      </c>
      <c r="C51" s="9" t="s">
        <v>34</v>
      </c>
      <c r="D51" s="14" t="s">
        <v>36</v>
      </c>
      <c r="E51" s="9" t="s">
        <v>25</v>
      </c>
      <c r="F51" s="9" t="s">
        <v>23</v>
      </c>
      <c r="G51" s="11">
        <v>2263.0</v>
      </c>
      <c r="H51" s="9">
        <v>1.0</v>
      </c>
      <c r="I51" s="12" t="str">
        <f t="array" ref="I51">_xlfn.XLOOKUP(C51, Clientes!A:A, Clientes!C:C) &amp; ", El Salvador"</f>
        <v>Sonsonate, El Salvador</v>
      </c>
      <c r="J51" s="13" t="str">
        <f t="array" ref="J51">_xlfn.XLOOKUP(E51, Tecnicos!A:A, Tecnicos!B:B)</f>
        <v>Sofía Rodas</v>
      </c>
      <c r="K51" s="13" t="str">
        <f t="array" ref="K51">_xlfn.XLOOKUP(C51, Clientes!A:A, Clientes!B:B)</f>
        <v>Hospital Jorge Mazzini</v>
      </c>
      <c r="L51" s="13" t="str">
        <f t="array" ref="L51">_xlfn.XLOOKUP(D51, Equipos!A:A, Equipos!B:B)</f>
        <v>Ultrasonido</v>
      </c>
      <c r="M51" s="9" t="str">
        <f t="array" ref="M51">_xlfn.XLOOKUP(F51, Tipo_Mtto!A:A, Tipo_Mtto!B:B)</f>
        <v>Correctivo</v>
      </c>
    </row>
    <row r="52" ht="14.25" customHeight="1">
      <c r="A52" s="9" t="s">
        <v>149</v>
      </c>
      <c r="B52" s="10">
        <v>45460.0</v>
      </c>
      <c r="C52" s="9" t="s">
        <v>24</v>
      </c>
      <c r="D52" s="14" t="s">
        <v>79</v>
      </c>
      <c r="E52" s="9" t="s">
        <v>45</v>
      </c>
      <c r="F52" s="9" t="s">
        <v>23</v>
      </c>
      <c r="G52" s="11">
        <v>1144.0</v>
      </c>
      <c r="H52" s="9">
        <v>10.0</v>
      </c>
      <c r="I52" s="12" t="str">
        <f t="array" ref="I52">_xlfn.XLOOKUP(C52, Clientes!A:A, Clientes!C:C) &amp; ", El Salvador"</f>
        <v>Santa Ana, El Salvador</v>
      </c>
      <c r="J52" s="13" t="str">
        <f t="array" ref="J52">_xlfn.XLOOKUP(E52, Tecnicos!A:A, Tecnicos!B:B)</f>
        <v>Elena Gómez</v>
      </c>
      <c r="K52" s="13" t="str">
        <f t="array" ref="K52">_xlfn.XLOOKUP(C52, Clientes!A:A, Clientes!B:B)</f>
        <v>Hospital San Juan de Dios</v>
      </c>
      <c r="L52" s="13" t="str">
        <f t="array" ref="L52">_xlfn.XLOOKUP(D52, Equipos!A:A, Equipos!B:B)</f>
        <v>Incubadora</v>
      </c>
      <c r="M52" s="9" t="str">
        <f t="array" ref="M52">_xlfn.XLOOKUP(F52, Tipo_Mtto!A:A, Tipo_Mtto!B:B)</f>
        <v>Correctivo</v>
      </c>
    </row>
    <row r="53" ht="14.25" customHeight="1">
      <c r="A53" s="9" t="s">
        <v>150</v>
      </c>
      <c r="B53" s="10">
        <v>45462.0</v>
      </c>
      <c r="C53" s="9" t="s">
        <v>55</v>
      </c>
      <c r="D53" s="14" t="s">
        <v>63</v>
      </c>
      <c r="E53" s="9" t="s">
        <v>25</v>
      </c>
      <c r="F53" s="9" t="s">
        <v>14</v>
      </c>
      <c r="G53" s="11">
        <v>583.0</v>
      </c>
      <c r="H53" s="9">
        <v>11.0</v>
      </c>
      <c r="I53" s="12" t="str">
        <f t="array" ref="I53">_xlfn.XLOOKUP(C53, Clientes!A:A, Clientes!C:C) &amp; ", El Salvador"</f>
        <v>San Salvador, El Salvador</v>
      </c>
      <c r="J53" s="13" t="str">
        <f t="array" ref="J53">_xlfn.XLOOKUP(E53, Tecnicos!A:A, Tecnicos!B:B)</f>
        <v>Sofía Rodas</v>
      </c>
      <c r="K53" s="13" t="str">
        <f t="array" ref="K53">_xlfn.XLOOKUP(C53, Clientes!A:A, Clientes!B:B)</f>
        <v>Hospital Nacional Rosales</v>
      </c>
      <c r="L53" s="13" t="str">
        <f t="array" ref="L53">_xlfn.XLOOKUP(D53, Equipos!A:A, Equipos!B:B)</f>
        <v>Monitor</v>
      </c>
      <c r="M53" s="9" t="str">
        <f t="array" ref="M53">_xlfn.XLOOKUP(F53, Tipo_Mtto!A:A, Tipo_Mtto!B:B)</f>
        <v>Preventivo Programado</v>
      </c>
    </row>
    <row r="54" ht="14.25" customHeight="1">
      <c r="A54" s="9" t="s">
        <v>151</v>
      </c>
      <c r="B54" s="10">
        <v>45463.0</v>
      </c>
      <c r="C54" s="9" t="s">
        <v>75</v>
      </c>
      <c r="D54" s="14" t="s">
        <v>87</v>
      </c>
      <c r="E54" s="9" t="s">
        <v>33</v>
      </c>
      <c r="F54" s="9" t="s">
        <v>23</v>
      </c>
      <c r="G54" s="11">
        <v>1909.0</v>
      </c>
      <c r="H54" s="9">
        <v>6.0</v>
      </c>
      <c r="I54" s="12" t="str">
        <f t="array" ref="I54">_xlfn.XLOOKUP(C54, Clientes!A:A, Clientes!C:C) &amp; ", El Salvador"</f>
        <v>Usulután, El Salvador</v>
      </c>
      <c r="J54" s="13" t="str">
        <f t="array" ref="J54">_xlfn.XLOOKUP(E54, Tecnicos!A:A, Tecnicos!B:B)</f>
        <v>Juan Pérez</v>
      </c>
      <c r="K54" s="13" t="str">
        <f t="array" ref="K54">_xlfn.XLOOKUP(C54, Clientes!A:A, Clientes!B:B)</f>
        <v>Hospital de Usulután</v>
      </c>
      <c r="L54" s="13" t="str">
        <f t="array" ref="L54">_xlfn.XLOOKUP(D54, Equipos!A:A, Equipos!B:B)</f>
        <v>Desfibrilador</v>
      </c>
      <c r="M54" s="9" t="str">
        <f t="array" ref="M54">_xlfn.XLOOKUP(F54, Tipo_Mtto!A:A, Tipo_Mtto!B:B)</f>
        <v>Correctivo</v>
      </c>
    </row>
    <row r="55" ht="14.25" customHeight="1">
      <c r="A55" s="9" t="s">
        <v>152</v>
      </c>
      <c r="B55" s="10">
        <v>45464.0</v>
      </c>
      <c r="C55" s="9" t="s">
        <v>61</v>
      </c>
      <c r="D55" s="14" t="s">
        <v>17</v>
      </c>
      <c r="E55" s="9" t="s">
        <v>45</v>
      </c>
      <c r="F55" s="9" t="s">
        <v>35</v>
      </c>
      <c r="G55" s="11">
        <v>1884.0</v>
      </c>
      <c r="H55" s="9">
        <v>3.0</v>
      </c>
      <c r="I55" s="12" t="str">
        <f t="array" ref="I55">_xlfn.XLOOKUP(C55, Clientes!A:A, Clientes!C:C) &amp; ", El Salvador"</f>
        <v>La Paz, El Salvador</v>
      </c>
      <c r="J55" s="13" t="str">
        <f t="array" ref="J55">_xlfn.XLOOKUP(E55, Tecnicos!A:A, Tecnicos!B:B)</f>
        <v>Elena Gómez</v>
      </c>
      <c r="K55" s="13" t="str">
        <f t="array" ref="K55">_xlfn.XLOOKUP(C55, Clientes!A:A, Clientes!B:B)</f>
        <v>Hospital Santa Teresa</v>
      </c>
      <c r="L55" s="13" t="str">
        <f t="array" ref="L55">_xlfn.XLOOKUP(D55, Equipos!A:A, Equipos!B:B)</f>
        <v>Rayos X</v>
      </c>
      <c r="M55" s="9" t="str">
        <f t="array" ref="M55">_xlfn.XLOOKUP(F55, Tipo_Mtto!A:A, Tipo_Mtto!B:B)</f>
        <v>Instalación</v>
      </c>
    </row>
    <row r="56" ht="14.25" customHeight="1">
      <c r="A56" s="9" t="s">
        <v>153</v>
      </c>
      <c r="B56" s="10">
        <v>45468.0</v>
      </c>
      <c r="C56" s="9" t="s">
        <v>58</v>
      </c>
      <c r="D56" s="14" t="s">
        <v>71</v>
      </c>
      <c r="E56" s="9" t="s">
        <v>25</v>
      </c>
      <c r="F56" s="9" t="s">
        <v>35</v>
      </c>
      <c r="G56" s="11">
        <v>624.0</v>
      </c>
      <c r="H56" s="9">
        <v>5.0</v>
      </c>
      <c r="I56" s="12" t="str">
        <f t="array" ref="I56">_xlfn.XLOOKUP(C56, Clientes!A:A, Clientes!C:C) &amp; ", El Salvador"</f>
        <v>Cuscatlán, El Salvador</v>
      </c>
      <c r="J56" s="13" t="str">
        <f t="array" ref="J56">_xlfn.XLOOKUP(E56, Tecnicos!A:A, Tecnicos!B:B)</f>
        <v>Sofía Rodas</v>
      </c>
      <c r="K56" s="13" t="str">
        <f t="array" ref="K56">_xlfn.XLOOKUP(C56, Clientes!A:A, Clientes!B:B)</f>
        <v>Hospital de Cojutepeque</v>
      </c>
      <c r="L56" s="13" t="str">
        <f t="array" ref="L56">_xlfn.XLOOKUP(D56, Equipos!A:A, Equipos!B:B)</f>
        <v>Ventilador</v>
      </c>
      <c r="M56" s="9" t="str">
        <f t="array" ref="M56">_xlfn.XLOOKUP(F56, Tipo_Mtto!A:A, Tipo_Mtto!B:B)</f>
        <v>Instalación</v>
      </c>
    </row>
    <row r="57" ht="14.25" customHeight="1">
      <c r="A57" s="9" t="s">
        <v>154</v>
      </c>
      <c r="B57" s="10">
        <v>45472.0</v>
      </c>
      <c r="C57" s="9" t="s">
        <v>13</v>
      </c>
      <c r="D57" s="14" t="s">
        <v>63</v>
      </c>
      <c r="E57" s="9" t="s">
        <v>11</v>
      </c>
      <c r="F57" s="9" t="s">
        <v>23</v>
      </c>
      <c r="G57" s="11">
        <v>2100.0</v>
      </c>
      <c r="H57" s="9">
        <v>6.0</v>
      </c>
      <c r="I57" s="12" t="str">
        <f t="array" ref="I57">_xlfn.XLOOKUP(C57, Clientes!A:A, Clientes!C:C) &amp; ", El Salvador"</f>
        <v>Ahuachapán, El Salvador</v>
      </c>
      <c r="J57" s="13" t="str">
        <f t="array" ref="J57">_xlfn.XLOOKUP(E57, Tecnicos!A:A, Tecnicos!B:B)</f>
        <v>Carlos Mendoza</v>
      </c>
      <c r="K57" s="13" t="str">
        <f t="array" ref="K57">_xlfn.XLOOKUP(C57, Clientes!A:A, Clientes!B:B)</f>
        <v>Hospital Nacional de Ahuachapán</v>
      </c>
      <c r="L57" s="13" t="str">
        <f t="array" ref="L57">_xlfn.XLOOKUP(D57, Equipos!A:A, Equipos!B:B)</f>
        <v>Monitor</v>
      </c>
      <c r="M57" s="9" t="str">
        <f t="array" ref="M57">_xlfn.XLOOKUP(F57, Tipo_Mtto!A:A, Tipo_Mtto!B:B)</f>
        <v>Correctivo</v>
      </c>
    </row>
    <row r="58" ht="14.25" customHeight="1">
      <c r="A58" s="9" t="s">
        <v>155</v>
      </c>
      <c r="B58" s="10">
        <v>45475.0</v>
      </c>
      <c r="C58" s="9" t="s">
        <v>88</v>
      </c>
      <c r="D58" s="14" t="s">
        <v>71</v>
      </c>
      <c r="E58" s="9" t="s">
        <v>45</v>
      </c>
      <c r="F58" s="9" t="s">
        <v>23</v>
      </c>
      <c r="G58" s="11">
        <v>2094.0</v>
      </c>
      <c r="H58" s="9">
        <v>5.0</v>
      </c>
      <c r="I58" s="12" t="str">
        <f t="array" ref="I58">_xlfn.XLOOKUP(C58, Clientes!A:A, Clientes!C:C) &amp; ", El Salvador"</f>
        <v>La Unión, El Salvador</v>
      </c>
      <c r="J58" s="13" t="str">
        <f t="array" ref="J58">_xlfn.XLOOKUP(E58, Tecnicos!A:A, Tecnicos!B:B)</f>
        <v>Elena Gómez</v>
      </c>
      <c r="K58" s="13" t="str">
        <f t="array" ref="K58">_xlfn.XLOOKUP(C58, Clientes!A:A, Clientes!B:B)</f>
        <v>Hospital de La Unión</v>
      </c>
      <c r="L58" s="13" t="str">
        <f t="array" ref="L58">_xlfn.XLOOKUP(D58, Equipos!A:A, Equipos!B:B)</f>
        <v>Ventilador</v>
      </c>
      <c r="M58" s="9" t="str">
        <f t="array" ref="M58">_xlfn.XLOOKUP(F58, Tipo_Mtto!A:A, Tipo_Mtto!B:B)</f>
        <v>Correctivo</v>
      </c>
    </row>
    <row r="59" ht="14.25" customHeight="1">
      <c r="A59" s="9" t="s">
        <v>156</v>
      </c>
      <c r="B59" s="10">
        <v>45481.0</v>
      </c>
      <c r="C59" s="9" t="s">
        <v>24</v>
      </c>
      <c r="D59" s="14" t="s">
        <v>87</v>
      </c>
      <c r="E59" s="9" t="s">
        <v>11</v>
      </c>
      <c r="F59" s="9" t="s">
        <v>14</v>
      </c>
      <c r="G59" s="11">
        <v>1926.0</v>
      </c>
      <c r="H59" s="9">
        <v>9.0</v>
      </c>
      <c r="I59" s="12" t="str">
        <f t="array" ref="I59">_xlfn.XLOOKUP(C59, Clientes!A:A, Clientes!C:C) &amp; ", El Salvador"</f>
        <v>Santa Ana, El Salvador</v>
      </c>
      <c r="J59" s="13" t="str">
        <f t="array" ref="J59">_xlfn.XLOOKUP(E59, Tecnicos!A:A, Tecnicos!B:B)</f>
        <v>Carlos Mendoza</v>
      </c>
      <c r="K59" s="13" t="str">
        <f t="array" ref="K59">_xlfn.XLOOKUP(C59, Clientes!A:A, Clientes!B:B)</f>
        <v>Hospital San Juan de Dios</v>
      </c>
      <c r="L59" s="13" t="str">
        <f t="array" ref="L59">_xlfn.XLOOKUP(D59, Equipos!A:A, Equipos!B:B)</f>
        <v>Desfibrilador</v>
      </c>
      <c r="M59" s="9" t="str">
        <f t="array" ref="M59">_xlfn.XLOOKUP(F59, Tipo_Mtto!A:A, Tipo_Mtto!B:B)</f>
        <v>Preventivo Programado</v>
      </c>
    </row>
    <row r="60" ht="14.25" customHeight="1">
      <c r="A60" s="9" t="s">
        <v>157</v>
      </c>
      <c r="B60" s="10">
        <v>45485.0</v>
      </c>
      <c r="C60" s="9" t="s">
        <v>80</v>
      </c>
      <c r="D60" s="14" t="s">
        <v>79</v>
      </c>
      <c r="E60" s="9" t="s">
        <v>25</v>
      </c>
      <c r="F60" s="9" t="s">
        <v>14</v>
      </c>
      <c r="G60" s="11">
        <v>370.0</v>
      </c>
      <c r="H60" s="9">
        <v>3.0</v>
      </c>
      <c r="I60" s="12" t="str">
        <f t="array" ref="I60">_xlfn.XLOOKUP(C60, Clientes!A:A, Clientes!C:C) &amp; ", El Salvador"</f>
        <v>San Miguel, El Salvador</v>
      </c>
      <c r="J60" s="13" t="str">
        <f t="array" ref="J60">_xlfn.XLOOKUP(E60, Tecnicos!A:A, Tecnicos!B:B)</f>
        <v>Sofía Rodas</v>
      </c>
      <c r="K60" s="13" t="str">
        <f t="array" ref="K60">_xlfn.XLOOKUP(C60, Clientes!A:A, Clientes!B:B)</f>
        <v>Hospital San Juan de Dios</v>
      </c>
      <c r="L60" s="13" t="str">
        <f t="array" ref="L60">_xlfn.XLOOKUP(D60, Equipos!A:A, Equipos!B:B)</f>
        <v>Incubadora</v>
      </c>
      <c r="M60" s="9" t="str">
        <f t="array" ref="M60">_xlfn.XLOOKUP(F60, Tipo_Mtto!A:A, Tipo_Mtto!B:B)</f>
        <v>Preventivo Programado</v>
      </c>
    </row>
    <row r="61" ht="14.25" customHeight="1">
      <c r="A61" s="9" t="s">
        <v>158</v>
      </c>
      <c r="B61" s="10">
        <v>45489.0</v>
      </c>
      <c r="C61" s="9" t="s">
        <v>88</v>
      </c>
      <c r="D61" s="14" t="s">
        <v>36</v>
      </c>
      <c r="E61" s="9" t="s">
        <v>45</v>
      </c>
      <c r="F61" s="9" t="s">
        <v>23</v>
      </c>
      <c r="G61" s="11">
        <v>896.0</v>
      </c>
      <c r="H61" s="9">
        <v>12.0</v>
      </c>
      <c r="I61" s="12" t="str">
        <f t="array" ref="I61">_xlfn.XLOOKUP(C61, Clientes!A:A, Clientes!C:C) &amp; ", El Salvador"</f>
        <v>La Unión, El Salvador</v>
      </c>
      <c r="J61" s="13" t="str">
        <f t="array" ref="J61">_xlfn.XLOOKUP(E61, Tecnicos!A:A, Tecnicos!B:B)</f>
        <v>Elena Gómez</v>
      </c>
      <c r="K61" s="13" t="str">
        <f t="array" ref="K61">_xlfn.XLOOKUP(C61, Clientes!A:A, Clientes!B:B)</f>
        <v>Hospital de La Unión</v>
      </c>
      <c r="L61" s="13" t="str">
        <f t="array" ref="L61">_xlfn.XLOOKUP(D61, Equipos!A:A, Equipos!B:B)</f>
        <v>Ultrasonido</v>
      </c>
      <c r="M61" s="9" t="str">
        <f t="array" ref="M61">_xlfn.XLOOKUP(F61, Tipo_Mtto!A:A, Tipo_Mtto!B:B)</f>
        <v>Correctivo</v>
      </c>
    </row>
    <row r="62" ht="14.25" customHeight="1">
      <c r="A62" s="9" t="s">
        <v>159</v>
      </c>
      <c r="B62" s="10">
        <v>45490.0</v>
      </c>
      <c r="C62" s="9" t="s">
        <v>70</v>
      </c>
      <c r="D62" s="14" t="s">
        <v>79</v>
      </c>
      <c r="E62" s="9" t="s">
        <v>25</v>
      </c>
      <c r="F62" s="9" t="s">
        <v>14</v>
      </c>
      <c r="G62" s="11">
        <v>688.0</v>
      </c>
      <c r="H62" s="9">
        <v>1.0</v>
      </c>
      <c r="I62" s="12" t="str">
        <f t="array" ref="I62">_xlfn.XLOOKUP(C62, Clientes!A:A, Clientes!C:C) &amp; ", El Salvador"</f>
        <v>San Vicente, El Salvador</v>
      </c>
      <c r="J62" s="13" t="str">
        <f t="array" ref="J62">_xlfn.XLOOKUP(E62, Tecnicos!A:A, Tecnicos!B:B)</f>
        <v>Sofía Rodas</v>
      </c>
      <c r="K62" s="13" t="str">
        <f t="array" ref="K62">_xlfn.XLOOKUP(C62, Clientes!A:A, Clientes!B:B)</f>
        <v>Hospital Santa Gertrudis</v>
      </c>
      <c r="L62" s="13" t="str">
        <f t="array" ref="L62">_xlfn.XLOOKUP(D62, Equipos!A:A, Equipos!B:B)</f>
        <v>Incubadora</v>
      </c>
      <c r="M62" s="9" t="str">
        <f t="array" ref="M62">_xlfn.XLOOKUP(F62, Tipo_Mtto!A:A, Tipo_Mtto!B:B)</f>
        <v>Preventivo Programado</v>
      </c>
    </row>
    <row r="63" ht="14.25" customHeight="1">
      <c r="A63" s="9" t="s">
        <v>160</v>
      </c>
      <c r="B63" s="10">
        <v>45493.0</v>
      </c>
      <c r="C63" s="9" t="s">
        <v>50</v>
      </c>
      <c r="D63" s="14" t="s">
        <v>36</v>
      </c>
      <c r="E63" s="9" t="s">
        <v>45</v>
      </c>
      <c r="F63" s="9" t="s">
        <v>35</v>
      </c>
      <c r="G63" s="11">
        <v>864.0</v>
      </c>
      <c r="H63" s="9">
        <v>4.0</v>
      </c>
      <c r="I63" s="12" t="str">
        <f t="array" ref="I63">_xlfn.XLOOKUP(C63, Clientes!A:A, Clientes!C:C) &amp; ", El Salvador"</f>
        <v>La Libertad, El Salvador</v>
      </c>
      <c r="J63" s="13" t="str">
        <f t="array" ref="J63">_xlfn.XLOOKUP(E63, Tecnicos!A:A, Tecnicos!B:B)</f>
        <v>Elena Gómez</v>
      </c>
      <c r="K63" s="13" t="str">
        <f t="array" ref="K63">_xlfn.XLOOKUP(C63, Clientes!A:A, Clientes!B:B)</f>
        <v>Hospital San Rafael</v>
      </c>
      <c r="L63" s="13" t="str">
        <f t="array" ref="L63">_xlfn.XLOOKUP(D63, Equipos!A:A, Equipos!B:B)</f>
        <v>Ultrasonido</v>
      </c>
      <c r="M63" s="9" t="str">
        <f t="array" ref="M63">_xlfn.XLOOKUP(F63, Tipo_Mtto!A:A, Tipo_Mtto!B:B)</f>
        <v>Instalación</v>
      </c>
    </row>
    <row r="64" ht="14.25" customHeight="1">
      <c r="A64" s="9" t="s">
        <v>161</v>
      </c>
      <c r="B64" s="10">
        <v>45498.0</v>
      </c>
      <c r="C64" s="9" t="s">
        <v>75</v>
      </c>
      <c r="D64" s="14" t="s">
        <v>63</v>
      </c>
      <c r="E64" s="9" t="s">
        <v>11</v>
      </c>
      <c r="F64" s="9" t="s">
        <v>14</v>
      </c>
      <c r="G64" s="11">
        <v>1993.0</v>
      </c>
      <c r="H64" s="9">
        <v>1.0</v>
      </c>
      <c r="I64" s="12" t="str">
        <f t="array" ref="I64">_xlfn.XLOOKUP(C64, Clientes!A:A, Clientes!C:C) &amp; ", El Salvador"</f>
        <v>Usulután, El Salvador</v>
      </c>
      <c r="J64" s="13" t="str">
        <f t="array" ref="J64">_xlfn.XLOOKUP(E64, Tecnicos!A:A, Tecnicos!B:B)</f>
        <v>Carlos Mendoza</v>
      </c>
      <c r="K64" s="13" t="str">
        <f t="array" ref="K64">_xlfn.XLOOKUP(C64, Clientes!A:A, Clientes!B:B)</f>
        <v>Hospital de Usulután</v>
      </c>
      <c r="L64" s="13" t="str">
        <f t="array" ref="L64">_xlfn.XLOOKUP(D64, Equipos!A:A, Equipos!B:B)</f>
        <v>Monitor</v>
      </c>
      <c r="M64" s="9" t="str">
        <f t="array" ref="M64">_xlfn.XLOOKUP(F64, Tipo_Mtto!A:A, Tipo_Mtto!B:B)</f>
        <v>Preventivo Programado</v>
      </c>
    </row>
    <row r="65" ht="14.25" customHeight="1">
      <c r="A65" s="9" t="s">
        <v>162</v>
      </c>
      <c r="B65" s="10">
        <v>45502.0</v>
      </c>
      <c r="C65" s="9" t="s">
        <v>61</v>
      </c>
      <c r="D65" s="14" t="s">
        <v>63</v>
      </c>
      <c r="E65" s="9" t="s">
        <v>11</v>
      </c>
      <c r="F65" s="9" t="s">
        <v>23</v>
      </c>
      <c r="G65" s="11">
        <v>962.0</v>
      </c>
      <c r="H65" s="9">
        <v>3.0</v>
      </c>
      <c r="I65" s="12" t="str">
        <f t="array" ref="I65">_xlfn.XLOOKUP(C65, Clientes!A:A, Clientes!C:C) &amp; ", El Salvador"</f>
        <v>La Paz, El Salvador</v>
      </c>
      <c r="J65" s="13" t="str">
        <f t="array" ref="J65">_xlfn.XLOOKUP(E65, Tecnicos!A:A, Tecnicos!B:B)</f>
        <v>Carlos Mendoza</v>
      </c>
      <c r="K65" s="13" t="str">
        <f t="array" ref="K65">_xlfn.XLOOKUP(C65, Clientes!A:A, Clientes!B:B)</f>
        <v>Hospital Santa Teresa</v>
      </c>
      <c r="L65" s="13" t="str">
        <f t="array" ref="L65">_xlfn.XLOOKUP(D65, Equipos!A:A, Equipos!B:B)</f>
        <v>Monitor</v>
      </c>
      <c r="M65" s="9" t="str">
        <f t="array" ref="M65">_xlfn.XLOOKUP(F65, Tipo_Mtto!A:A, Tipo_Mtto!B:B)</f>
        <v>Correctivo</v>
      </c>
    </row>
    <row r="66" ht="14.25" customHeight="1">
      <c r="A66" s="9" t="s">
        <v>163</v>
      </c>
      <c r="B66" s="10">
        <v>45505.0</v>
      </c>
      <c r="C66" s="9" t="s">
        <v>24</v>
      </c>
      <c r="D66" s="14" t="s">
        <v>87</v>
      </c>
      <c r="E66" s="9" t="s">
        <v>45</v>
      </c>
      <c r="F66" s="9" t="s">
        <v>14</v>
      </c>
      <c r="G66" s="11">
        <v>2085.0</v>
      </c>
      <c r="H66" s="9">
        <v>2.0</v>
      </c>
      <c r="I66" s="12" t="str">
        <f t="array" ref="I66">_xlfn.XLOOKUP(C66, Clientes!A:A, Clientes!C:C) &amp; ", El Salvador"</f>
        <v>Santa Ana, El Salvador</v>
      </c>
      <c r="J66" s="13" t="str">
        <f t="array" ref="J66">_xlfn.XLOOKUP(E66, Tecnicos!A:A, Tecnicos!B:B)</f>
        <v>Elena Gómez</v>
      </c>
      <c r="K66" s="13" t="str">
        <f t="array" ref="K66">_xlfn.XLOOKUP(C66, Clientes!A:A, Clientes!B:B)</f>
        <v>Hospital San Juan de Dios</v>
      </c>
      <c r="L66" s="13" t="str">
        <f t="array" ref="L66">_xlfn.XLOOKUP(D66, Equipos!A:A, Equipos!B:B)</f>
        <v>Desfibrilador</v>
      </c>
      <c r="M66" s="9" t="str">
        <f t="array" ref="M66">_xlfn.XLOOKUP(F66, Tipo_Mtto!A:A, Tipo_Mtto!B:B)</f>
        <v>Preventivo Programado</v>
      </c>
    </row>
    <row r="67" ht="14.25" customHeight="1">
      <c r="A67" s="9" t="s">
        <v>164</v>
      </c>
      <c r="B67" s="10">
        <v>45511.0</v>
      </c>
      <c r="C67" s="9" t="s">
        <v>55</v>
      </c>
      <c r="D67" s="14" t="s">
        <v>79</v>
      </c>
      <c r="E67" s="9" t="s">
        <v>45</v>
      </c>
      <c r="F67" s="9" t="s">
        <v>23</v>
      </c>
      <c r="G67" s="11">
        <v>392.0</v>
      </c>
      <c r="H67" s="9">
        <v>2.0</v>
      </c>
      <c r="I67" s="12" t="str">
        <f t="array" ref="I67">_xlfn.XLOOKUP(C67, Clientes!A:A, Clientes!C:C) &amp; ", El Salvador"</f>
        <v>San Salvador, El Salvador</v>
      </c>
      <c r="J67" s="13" t="str">
        <f t="array" ref="J67">_xlfn.XLOOKUP(E67, Tecnicos!A:A, Tecnicos!B:B)</f>
        <v>Elena Gómez</v>
      </c>
      <c r="K67" s="13" t="str">
        <f t="array" ref="K67">_xlfn.XLOOKUP(C67, Clientes!A:A, Clientes!B:B)</f>
        <v>Hospital Nacional Rosales</v>
      </c>
      <c r="L67" s="13" t="str">
        <f t="array" ref="L67">_xlfn.XLOOKUP(D67, Equipos!A:A, Equipos!B:B)</f>
        <v>Incubadora</v>
      </c>
      <c r="M67" s="9" t="str">
        <f t="array" ref="M67">_xlfn.XLOOKUP(F67, Tipo_Mtto!A:A, Tipo_Mtto!B:B)</f>
        <v>Correctivo</v>
      </c>
    </row>
    <row r="68" ht="14.25" customHeight="1">
      <c r="A68" s="9" t="s">
        <v>165</v>
      </c>
      <c r="B68" s="10">
        <v>45512.0</v>
      </c>
      <c r="C68" s="9" t="s">
        <v>50</v>
      </c>
      <c r="D68" s="14" t="s">
        <v>36</v>
      </c>
      <c r="E68" s="9" t="s">
        <v>33</v>
      </c>
      <c r="F68" s="9" t="s">
        <v>35</v>
      </c>
      <c r="G68" s="11">
        <v>1546.0</v>
      </c>
      <c r="H68" s="9">
        <v>11.0</v>
      </c>
      <c r="I68" s="12" t="str">
        <f t="array" ref="I68">_xlfn.XLOOKUP(C68, Clientes!A:A, Clientes!C:C) &amp; ", El Salvador"</f>
        <v>La Libertad, El Salvador</v>
      </c>
      <c r="J68" s="13" t="str">
        <f t="array" ref="J68">_xlfn.XLOOKUP(E68, Tecnicos!A:A, Tecnicos!B:B)</f>
        <v>Juan Pérez</v>
      </c>
      <c r="K68" s="13" t="str">
        <f t="array" ref="K68">_xlfn.XLOOKUP(C68, Clientes!A:A, Clientes!B:B)</f>
        <v>Hospital San Rafael</v>
      </c>
      <c r="L68" s="13" t="str">
        <f t="array" ref="L68">_xlfn.XLOOKUP(D68, Equipos!A:A, Equipos!B:B)</f>
        <v>Ultrasonido</v>
      </c>
      <c r="M68" s="9" t="str">
        <f t="array" ref="M68">_xlfn.XLOOKUP(F68, Tipo_Mtto!A:A, Tipo_Mtto!B:B)</f>
        <v>Instalación</v>
      </c>
    </row>
    <row r="69" ht="14.25" customHeight="1">
      <c r="A69" s="9" t="s">
        <v>166</v>
      </c>
      <c r="B69" s="10">
        <v>45516.0</v>
      </c>
      <c r="C69" s="9" t="s">
        <v>61</v>
      </c>
      <c r="D69" s="14" t="s">
        <v>36</v>
      </c>
      <c r="E69" s="9" t="s">
        <v>11</v>
      </c>
      <c r="F69" s="9" t="s">
        <v>14</v>
      </c>
      <c r="G69" s="11">
        <v>1072.0</v>
      </c>
      <c r="H69" s="9">
        <v>2.0</v>
      </c>
      <c r="I69" s="12" t="str">
        <f t="array" ref="I69">_xlfn.XLOOKUP(C69, Clientes!A:A, Clientes!C:C) &amp; ", El Salvador"</f>
        <v>La Paz, El Salvador</v>
      </c>
      <c r="J69" s="13" t="str">
        <f t="array" ref="J69">_xlfn.XLOOKUP(E69, Tecnicos!A:A, Tecnicos!B:B)</f>
        <v>Carlos Mendoza</v>
      </c>
      <c r="K69" s="13" t="str">
        <f t="array" ref="K69">_xlfn.XLOOKUP(C69, Clientes!A:A, Clientes!B:B)</f>
        <v>Hospital Santa Teresa</v>
      </c>
      <c r="L69" s="13" t="str">
        <f t="array" ref="L69">_xlfn.XLOOKUP(D69, Equipos!A:A, Equipos!B:B)</f>
        <v>Ultrasonido</v>
      </c>
      <c r="M69" s="9" t="str">
        <f t="array" ref="M69">_xlfn.XLOOKUP(F69, Tipo_Mtto!A:A, Tipo_Mtto!B:B)</f>
        <v>Preventivo Programado</v>
      </c>
    </row>
    <row r="70" ht="14.25" customHeight="1">
      <c r="A70" s="9" t="s">
        <v>167</v>
      </c>
      <c r="B70" s="10">
        <v>45519.0</v>
      </c>
      <c r="C70" s="9" t="s">
        <v>70</v>
      </c>
      <c r="D70" s="14" t="s">
        <v>63</v>
      </c>
      <c r="E70" s="9" t="s">
        <v>51</v>
      </c>
      <c r="F70" s="9" t="s">
        <v>23</v>
      </c>
      <c r="G70" s="11">
        <v>2425.0</v>
      </c>
      <c r="H70" s="9">
        <v>7.0</v>
      </c>
      <c r="I70" s="12" t="str">
        <f t="array" ref="I70">_xlfn.XLOOKUP(C70, Clientes!A:A, Clientes!C:C) &amp; ", El Salvador"</f>
        <v>San Vicente, El Salvador</v>
      </c>
      <c r="J70" s="13" t="str">
        <f t="array" ref="J70">_xlfn.XLOOKUP(E70, Tecnicos!A:A, Tecnicos!B:B)</f>
        <v>Luis Martínez</v>
      </c>
      <c r="K70" s="13" t="str">
        <f t="array" ref="K70">_xlfn.XLOOKUP(C70, Clientes!A:A, Clientes!B:B)</f>
        <v>Hospital Santa Gertrudis</v>
      </c>
      <c r="L70" s="13" t="str">
        <f t="array" ref="L70">_xlfn.XLOOKUP(D70, Equipos!A:A, Equipos!B:B)</f>
        <v>Monitor</v>
      </c>
      <c r="M70" s="9" t="str">
        <f t="array" ref="M70">_xlfn.XLOOKUP(F70, Tipo_Mtto!A:A, Tipo_Mtto!B:B)</f>
        <v>Correctivo</v>
      </c>
    </row>
    <row r="71" ht="14.25" customHeight="1">
      <c r="A71" s="9" t="s">
        <v>168</v>
      </c>
      <c r="B71" s="10">
        <v>45523.0</v>
      </c>
      <c r="C71" s="9" t="s">
        <v>65</v>
      </c>
      <c r="D71" s="14" t="s">
        <v>79</v>
      </c>
      <c r="E71" s="9" t="s">
        <v>11</v>
      </c>
      <c r="F71" s="9" t="s">
        <v>23</v>
      </c>
      <c r="G71" s="11">
        <v>2385.0</v>
      </c>
      <c r="H71" s="9">
        <v>9.0</v>
      </c>
      <c r="I71" s="12" t="str">
        <f t="array" ref="I71">_xlfn.XLOOKUP(C71, Clientes!A:A, Clientes!C:C) &amp; ", El Salvador"</f>
        <v>Cabañas, El Salvador</v>
      </c>
      <c r="J71" s="13" t="str">
        <f t="array" ref="J71">_xlfn.XLOOKUP(E71, Tecnicos!A:A, Tecnicos!B:B)</f>
        <v>Carlos Mendoza</v>
      </c>
      <c r="K71" s="13" t="str">
        <f t="array" ref="K71">_xlfn.XLOOKUP(C71, Clientes!A:A, Clientes!B:B)</f>
        <v>Hospital de Sensuntepeque</v>
      </c>
      <c r="L71" s="13" t="str">
        <f t="array" ref="L71">_xlfn.XLOOKUP(D71, Equipos!A:A, Equipos!B:B)</f>
        <v>Incubadora</v>
      </c>
      <c r="M71" s="9" t="str">
        <f t="array" ref="M71">_xlfn.XLOOKUP(F71, Tipo_Mtto!A:A, Tipo_Mtto!B:B)</f>
        <v>Correctivo</v>
      </c>
    </row>
    <row r="72" ht="14.25" customHeight="1">
      <c r="A72" s="9" t="s">
        <v>169</v>
      </c>
      <c r="B72" s="10">
        <v>45529.0</v>
      </c>
      <c r="C72" s="9" t="s">
        <v>83</v>
      </c>
      <c r="D72" s="14" t="s">
        <v>87</v>
      </c>
      <c r="E72" s="9" t="s">
        <v>33</v>
      </c>
      <c r="F72" s="9" t="s">
        <v>23</v>
      </c>
      <c r="G72" s="11">
        <v>1045.0</v>
      </c>
      <c r="H72" s="9">
        <v>8.0</v>
      </c>
      <c r="I72" s="12" t="str">
        <f t="array" ref="I72">_xlfn.XLOOKUP(C72, Clientes!A:A, Clientes!C:C) &amp; ", El Salvador"</f>
        <v>Morazán, El Salvador</v>
      </c>
      <c r="J72" s="13" t="str">
        <f t="array" ref="J72">_xlfn.XLOOKUP(E72, Tecnicos!A:A, Tecnicos!B:B)</f>
        <v>Juan Pérez</v>
      </c>
      <c r="K72" s="13" t="str">
        <f t="array" ref="K72">_xlfn.XLOOKUP(C72, Clientes!A:A, Clientes!B:B)</f>
        <v>Hospital de San Francisco Gotera</v>
      </c>
      <c r="L72" s="13" t="str">
        <f t="array" ref="L72">_xlfn.XLOOKUP(D72, Equipos!A:A, Equipos!B:B)</f>
        <v>Desfibrilador</v>
      </c>
      <c r="M72" s="9" t="str">
        <f t="array" ref="M72">_xlfn.XLOOKUP(F72, Tipo_Mtto!A:A, Tipo_Mtto!B:B)</f>
        <v>Correctivo</v>
      </c>
    </row>
    <row r="73" ht="14.25" customHeight="1">
      <c r="A73" s="9" t="s">
        <v>170</v>
      </c>
      <c r="B73" s="10">
        <v>45532.0</v>
      </c>
      <c r="C73" s="9" t="s">
        <v>70</v>
      </c>
      <c r="D73" s="14" t="s">
        <v>36</v>
      </c>
      <c r="E73" s="9" t="s">
        <v>45</v>
      </c>
      <c r="F73" s="9" t="s">
        <v>14</v>
      </c>
      <c r="G73" s="11">
        <v>1582.0</v>
      </c>
      <c r="H73" s="9">
        <v>1.0</v>
      </c>
      <c r="I73" s="12" t="str">
        <f t="array" ref="I73">_xlfn.XLOOKUP(C73, Clientes!A:A, Clientes!C:C) &amp; ", El Salvador"</f>
        <v>San Vicente, El Salvador</v>
      </c>
      <c r="J73" s="13" t="str">
        <f t="array" ref="J73">_xlfn.XLOOKUP(E73, Tecnicos!A:A, Tecnicos!B:B)</f>
        <v>Elena Gómez</v>
      </c>
      <c r="K73" s="13" t="str">
        <f t="array" ref="K73">_xlfn.XLOOKUP(C73, Clientes!A:A, Clientes!B:B)</f>
        <v>Hospital Santa Gertrudis</v>
      </c>
      <c r="L73" s="13" t="str">
        <f t="array" ref="L73">_xlfn.XLOOKUP(D73, Equipos!A:A, Equipos!B:B)</f>
        <v>Ultrasonido</v>
      </c>
      <c r="M73" s="9" t="str">
        <f t="array" ref="M73">_xlfn.XLOOKUP(F73, Tipo_Mtto!A:A, Tipo_Mtto!B:B)</f>
        <v>Preventivo Programado</v>
      </c>
    </row>
    <row r="74" ht="14.25" customHeight="1">
      <c r="A74" s="9" t="s">
        <v>171</v>
      </c>
      <c r="B74" s="10">
        <v>45536.0</v>
      </c>
      <c r="C74" s="9" t="s">
        <v>24</v>
      </c>
      <c r="D74" s="14" t="s">
        <v>79</v>
      </c>
      <c r="E74" s="9" t="s">
        <v>51</v>
      </c>
      <c r="F74" s="9" t="s">
        <v>14</v>
      </c>
      <c r="G74" s="11">
        <v>914.0</v>
      </c>
      <c r="H74" s="9">
        <v>12.0</v>
      </c>
      <c r="I74" s="12" t="str">
        <f t="array" ref="I74">_xlfn.XLOOKUP(C74, Clientes!A:A, Clientes!C:C) &amp; ", El Salvador"</f>
        <v>Santa Ana, El Salvador</v>
      </c>
      <c r="J74" s="13" t="str">
        <f t="array" ref="J74">_xlfn.XLOOKUP(E74, Tecnicos!A:A, Tecnicos!B:B)</f>
        <v>Luis Martínez</v>
      </c>
      <c r="K74" s="13" t="str">
        <f t="array" ref="K74">_xlfn.XLOOKUP(C74, Clientes!A:A, Clientes!B:B)</f>
        <v>Hospital San Juan de Dios</v>
      </c>
      <c r="L74" s="13" t="str">
        <f t="array" ref="L74">_xlfn.XLOOKUP(D74, Equipos!A:A, Equipos!B:B)</f>
        <v>Incubadora</v>
      </c>
      <c r="M74" s="9" t="str">
        <f t="array" ref="M74">_xlfn.XLOOKUP(F74, Tipo_Mtto!A:A, Tipo_Mtto!B:B)</f>
        <v>Preventivo Programado</v>
      </c>
    </row>
    <row r="75" ht="14.25" customHeight="1">
      <c r="A75" s="9" t="s">
        <v>172</v>
      </c>
      <c r="B75" s="10">
        <v>45537.0</v>
      </c>
      <c r="C75" s="9" t="s">
        <v>50</v>
      </c>
      <c r="D75" s="14" t="s">
        <v>17</v>
      </c>
      <c r="E75" s="9" t="s">
        <v>45</v>
      </c>
      <c r="F75" s="9" t="s">
        <v>14</v>
      </c>
      <c r="G75" s="11">
        <v>443.0</v>
      </c>
      <c r="H75" s="9">
        <v>8.0</v>
      </c>
      <c r="I75" s="12" t="str">
        <f t="array" ref="I75">_xlfn.XLOOKUP(C75, Clientes!A:A, Clientes!C:C) &amp; ", El Salvador"</f>
        <v>La Libertad, El Salvador</v>
      </c>
      <c r="J75" s="13" t="str">
        <f t="array" ref="J75">_xlfn.XLOOKUP(E75, Tecnicos!A:A, Tecnicos!B:B)</f>
        <v>Elena Gómez</v>
      </c>
      <c r="K75" s="13" t="str">
        <f t="array" ref="K75">_xlfn.XLOOKUP(C75, Clientes!A:A, Clientes!B:B)</f>
        <v>Hospital San Rafael</v>
      </c>
      <c r="L75" s="13" t="str">
        <f t="array" ref="L75">_xlfn.XLOOKUP(D75, Equipos!A:A, Equipos!B:B)</f>
        <v>Rayos X</v>
      </c>
      <c r="M75" s="9" t="str">
        <f t="array" ref="M75">_xlfn.XLOOKUP(F75, Tipo_Mtto!A:A, Tipo_Mtto!B:B)</f>
        <v>Preventivo Programado</v>
      </c>
    </row>
    <row r="76" ht="14.25" customHeight="1">
      <c r="A76" s="9" t="s">
        <v>173</v>
      </c>
      <c r="B76" s="10">
        <v>45541.0</v>
      </c>
      <c r="C76" s="9" t="s">
        <v>24</v>
      </c>
      <c r="D76" s="14" t="s">
        <v>87</v>
      </c>
      <c r="E76" s="9" t="s">
        <v>33</v>
      </c>
      <c r="F76" s="9" t="s">
        <v>14</v>
      </c>
      <c r="G76" s="11">
        <v>914.0</v>
      </c>
      <c r="H76" s="9">
        <v>8.0</v>
      </c>
      <c r="I76" s="12" t="str">
        <f t="array" ref="I76">_xlfn.XLOOKUP(C76, Clientes!A:A, Clientes!C:C) &amp; ", El Salvador"</f>
        <v>Santa Ana, El Salvador</v>
      </c>
      <c r="J76" s="13" t="str">
        <f t="array" ref="J76">_xlfn.XLOOKUP(E76, Tecnicos!A:A, Tecnicos!B:B)</f>
        <v>Juan Pérez</v>
      </c>
      <c r="K76" s="13" t="str">
        <f t="array" ref="K76">_xlfn.XLOOKUP(C76, Clientes!A:A, Clientes!B:B)</f>
        <v>Hospital San Juan de Dios</v>
      </c>
      <c r="L76" s="13" t="str">
        <f t="array" ref="L76">_xlfn.XLOOKUP(D76, Equipos!A:A, Equipos!B:B)</f>
        <v>Desfibrilador</v>
      </c>
      <c r="M76" s="9" t="str">
        <f t="array" ref="M76">_xlfn.XLOOKUP(F76, Tipo_Mtto!A:A, Tipo_Mtto!B:B)</f>
        <v>Preventivo Programado</v>
      </c>
    </row>
    <row r="77" ht="14.25" customHeight="1">
      <c r="A77" s="9" t="s">
        <v>174</v>
      </c>
      <c r="B77" s="10">
        <v>45546.0</v>
      </c>
      <c r="C77" s="9" t="s">
        <v>50</v>
      </c>
      <c r="D77" s="14" t="s">
        <v>87</v>
      </c>
      <c r="E77" s="9" t="s">
        <v>11</v>
      </c>
      <c r="F77" s="9" t="s">
        <v>14</v>
      </c>
      <c r="G77" s="11">
        <v>1262.0</v>
      </c>
      <c r="H77" s="9">
        <v>12.0</v>
      </c>
      <c r="I77" s="12" t="str">
        <f t="array" ref="I77">_xlfn.XLOOKUP(C77, Clientes!A:A, Clientes!C:C) &amp; ", El Salvador"</f>
        <v>La Libertad, El Salvador</v>
      </c>
      <c r="J77" s="13" t="str">
        <f t="array" ref="J77">_xlfn.XLOOKUP(E77, Tecnicos!A:A, Tecnicos!B:B)</f>
        <v>Carlos Mendoza</v>
      </c>
      <c r="K77" s="13" t="str">
        <f t="array" ref="K77">_xlfn.XLOOKUP(C77, Clientes!A:A, Clientes!B:B)</f>
        <v>Hospital San Rafael</v>
      </c>
      <c r="L77" s="13" t="str">
        <f t="array" ref="L77">_xlfn.XLOOKUP(D77, Equipos!A:A, Equipos!B:B)</f>
        <v>Desfibrilador</v>
      </c>
      <c r="M77" s="9" t="str">
        <f t="array" ref="M77">_xlfn.XLOOKUP(F77, Tipo_Mtto!A:A, Tipo_Mtto!B:B)</f>
        <v>Preventivo Programado</v>
      </c>
    </row>
    <row r="78" ht="14.25" customHeight="1">
      <c r="A78" s="9" t="s">
        <v>175</v>
      </c>
      <c r="B78" s="10">
        <v>45551.0</v>
      </c>
      <c r="C78" s="9" t="s">
        <v>13</v>
      </c>
      <c r="D78" s="14" t="s">
        <v>87</v>
      </c>
      <c r="E78" s="9" t="s">
        <v>25</v>
      </c>
      <c r="F78" s="9" t="s">
        <v>23</v>
      </c>
      <c r="G78" s="11">
        <v>795.0</v>
      </c>
      <c r="H78" s="9">
        <v>11.0</v>
      </c>
      <c r="I78" s="12" t="str">
        <f t="array" ref="I78">_xlfn.XLOOKUP(C78, Clientes!A:A, Clientes!C:C) &amp; ", El Salvador"</f>
        <v>Ahuachapán, El Salvador</v>
      </c>
      <c r="J78" s="13" t="str">
        <f t="array" ref="J78">_xlfn.XLOOKUP(E78, Tecnicos!A:A, Tecnicos!B:B)</f>
        <v>Sofía Rodas</v>
      </c>
      <c r="K78" s="13" t="str">
        <f t="array" ref="K78">_xlfn.XLOOKUP(C78, Clientes!A:A, Clientes!B:B)</f>
        <v>Hospital Nacional de Ahuachapán</v>
      </c>
      <c r="L78" s="13" t="str">
        <f t="array" ref="L78">_xlfn.XLOOKUP(D78, Equipos!A:A, Equipos!B:B)</f>
        <v>Desfibrilador</v>
      </c>
      <c r="M78" s="9" t="str">
        <f t="array" ref="M78">_xlfn.XLOOKUP(F78, Tipo_Mtto!A:A, Tipo_Mtto!B:B)</f>
        <v>Correctivo</v>
      </c>
    </row>
    <row r="79" ht="14.25" customHeight="1">
      <c r="A79" s="9" t="s">
        <v>176</v>
      </c>
      <c r="B79" s="10">
        <v>45553.0</v>
      </c>
      <c r="C79" s="9" t="s">
        <v>44</v>
      </c>
      <c r="D79" s="14" t="s">
        <v>71</v>
      </c>
      <c r="E79" s="9" t="s">
        <v>45</v>
      </c>
      <c r="F79" s="9" t="s">
        <v>14</v>
      </c>
      <c r="G79" s="11">
        <v>299.0</v>
      </c>
      <c r="H79" s="9">
        <v>7.0</v>
      </c>
      <c r="I79" s="12" t="str">
        <f t="array" ref="I79">_xlfn.XLOOKUP(C79, Clientes!A:A, Clientes!C:C) &amp; ", El Salvador"</f>
        <v>Chalatenango, El Salvador</v>
      </c>
      <c r="J79" s="13" t="str">
        <f t="array" ref="J79">_xlfn.XLOOKUP(E79, Tecnicos!A:A, Tecnicos!B:B)</f>
        <v>Elena Gómez</v>
      </c>
      <c r="K79" s="13" t="str">
        <f t="array" ref="K79">_xlfn.XLOOKUP(C79, Clientes!A:A, Clientes!B:B)</f>
        <v>Hospital Dr. Luis Edmundo Vásquez</v>
      </c>
      <c r="L79" s="13" t="str">
        <f t="array" ref="L79">_xlfn.XLOOKUP(D79, Equipos!A:A, Equipos!B:B)</f>
        <v>Ventilador</v>
      </c>
      <c r="M79" s="9" t="str">
        <f t="array" ref="M79">_xlfn.XLOOKUP(F79, Tipo_Mtto!A:A, Tipo_Mtto!B:B)</f>
        <v>Preventivo Programado</v>
      </c>
    </row>
    <row r="80" ht="14.25" customHeight="1">
      <c r="A80" s="9" t="s">
        <v>177</v>
      </c>
      <c r="B80" s="10">
        <v>45559.0</v>
      </c>
      <c r="C80" s="9" t="s">
        <v>70</v>
      </c>
      <c r="D80" s="14" t="s">
        <v>63</v>
      </c>
      <c r="E80" s="9" t="s">
        <v>11</v>
      </c>
      <c r="F80" s="9" t="s">
        <v>23</v>
      </c>
      <c r="G80" s="11">
        <v>1084.0</v>
      </c>
      <c r="H80" s="9">
        <v>3.0</v>
      </c>
      <c r="I80" s="12" t="str">
        <f t="array" ref="I80">_xlfn.XLOOKUP(C80, Clientes!A:A, Clientes!C:C) &amp; ", El Salvador"</f>
        <v>San Vicente, El Salvador</v>
      </c>
      <c r="J80" s="13" t="str">
        <f t="array" ref="J80">_xlfn.XLOOKUP(E80, Tecnicos!A:A, Tecnicos!B:B)</f>
        <v>Carlos Mendoza</v>
      </c>
      <c r="K80" s="13" t="str">
        <f t="array" ref="K80">_xlfn.XLOOKUP(C80, Clientes!A:A, Clientes!B:B)</f>
        <v>Hospital Santa Gertrudis</v>
      </c>
      <c r="L80" s="13" t="str">
        <f t="array" ref="L80">_xlfn.XLOOKUP(D80, Equipos!A:A, Equipos!B:B)</f>
        <v>Monitor</v>
      </c>
      <c r="M80" s="9" t="str">
        <f t="array" ref="M80">_xlfn.XLOOKUP(F80, Tipo_Mtto!A:A, Tipo_Mtto!B:B)</f>
        <v>Correctivo</v>
      </c>
    </row>
    <row r="81" ht="14.25" customHeight="1">
      <c r="A81" s="9" t="s">
        <v>178</v>
      </c>
      <c r="B81" s="10">
        <v>45562.0</v>
      </c>
      <c r="C81" s="9" t="s">
        <v>75</v>
      </c>
      <c r="D81" s="14" t="s">
        <v>17</v>
      </c>
      <c r="E81" s="9" t="s">
        <v>25</v>
      </c>
      <c r="F81" s="9" t="s">
        <v>14</v>
      </c>
      <c r="G81" s="11">
        <v>309.0</v>
      </c>
      <c r="H81" s="9">
        <v>11.0</v>
      </c>
      <c r="I81" s="12" t="str">
        <f t="array" ref="I81">_xlfn.XLOOKUP(C81, Clientes!A:A, Clientes!C:C) &amp; ", El Salvador"</f>
        <v>Usulután, El Salvador</v>
      </c>
      <c r="J81" s="13" t="str">
        <f t="array" ref="J81">_xlfn.XLOOKUP(E81, Tecnicos!A:A, Tecnicos!B:B)</f>
        <v>Sofía Rodas</v>
      </c>
      <c r="K81" s="13" t="str">
        <f t="array" ref="K81">_xlfn.XLOOKUP(C81, Clientes!A:A, Clientes!B:B)</f>
        <v>Hospital de Usulután</v>
      </c>
      <c r="L81" s="13" t="str">
        <f t="array" ref="L81">_xlfn.XLOOKUP(D81, Equipos!A:A, Equipos!B:B)</f>
        <v>Rayos X</v>
      </c>
      <c r="M81" s="9" t="str">
        <f t="array" ref="M81">_xlfn.XLOOKUP(F81, Tipo_Mtto!A:A, Tipo_Mtto!B:B)</f>
        <v>Preventivo Programado</v>
      </c>
    </row>
    <row r="82" ht="14.25" customHeight="1">
      <c r="A82" s="9" t="s">
        <v>179</v>
      </c>
      <c r="B82" s="10">
        <v>45563.0</v>
      </c>
      <c r="C82" s="9" t="s">
        <v>88</v>
      </c>
      <c r="D82" s="14" t="s">
        <v>17</v>
      </c>
      <c r="E82" s="9" t="s">
        <v>51</v>
      </c>
      <c r="F82" s="9" t="s">
        <v>23</v>
      </c>
      <c r="G82" s="11">
        <v>1930.0</v>
      </c>
      <c r="H82" s="9">
        <v>5.0</v>
      </c>
      <c r="I82" s="12" t="str">
        <f t="array" ref="I82">_xlfn.XLOOKUP(C82, Clientes!A:A, Clientes!C:C) &amp; ", El Salvador"</f>
        <v>La Unión, El Salvador</v>
      </c>
      <c r="J82" s="13" t="str">
        <f t="array" ref="J82">_xlfn.XLOOKUP(E82, Tecnicos!A:A, Tecnicos!B:B)</f>
        <v>Luis Martínez</v>
      </c>
      <c r="K82" s="13" t="str">
        <f t="array" ref="K82">_xlfn.XLOOKUP(C82, Clientes!A:A, Clientes!B:B)</f>
        <v>Hospital de La Unión</v>
      </c>
      <c r="L82" s="13" t="str">
        <f t="array" ref="L82">_xlfn.XLOOKUP(D82, Equipos!A:A, Equipos!B:B)</f>
        <v>Rayos X</v>
      </c>
      <c r="M82" s="9" t="str">
        <f t="array" ref="M82">_xlfn.XLOOKUP(F82, Tipo_Mtto!A:A, Tipo_Mtto!B:B)</f>
        <v>Correctivo</v>
      </c>
    </row>
    <row r="83" ht="14.25" customHeight="1">
      <c r="A83" s="9" t="s">
        <v>180</v>
      </c>
      <c r="B83" s="10">
        <v>45568.0</v>
      </c>
      <c r="C83" s="9" t="s">
        <v>80</v>
      </c>
      <c r="D83" s="14" t="s">
        <v>36</v>
      </c>
      <c r="E83" s="9" t="s">
        <v>11</v>
      </c>
      <c r="F83" s="9" t="s">
        <v>23</v>
      </c>
      <c r="G83" s="11">
        <v>875.0</v>
      </c>
      <c r="H83" s="9">
        <v>10.0</v>
      </c>
      <c r="I83" s="12" t="str">
        <f t="array" ref="I83">_xlfn.XLOOKUP(C83, Clientes!A:A, Clientes!C:C) &amp; ", El Salvador"</f>
        <v>San Miguel, El Salvador</v>
      </c>
      <c r="J83" s="13" t="str">
        <f t="array" ref="J83">_xlfn.XLOOKUP(E83, Tecnicos!A:A, Tecnicos!B:B)</f>
        <v>Carlos Mendoza</v>
      </c>
      <c r="K83" s="13" t="str">
        <f t="array" ref="K83">_xlfn.XLOOKUP(C83, Clientes!A:A, Clientes!B:B)</f>
        <v>Hospital San Juan de Dios</v>
      </c>
      <c r="L83" s="13" t="str">
        <f t="array" ref="L83">_xlfn.XLOOKUP(D83, Equipos!A:A, Equipos!B:B)</f>
        <v>Ultrasonido</v>
      </c>
      <c r="M83" s="9" t="str">
        <f t="array" ref="M83">_xlfn.XLOOKUP(F83, Tipo_Mtto!A:A, Tipo_Mtto!B:B)</f>
        <v>Correctivo</v>
      </c>
    </row>
    <row r="84" ht="14.25" customHeight="1">
      <c r="A84" s="9" t="s">
        <v>181</v>
      </c>
      <c r="B84" s="10">
        <v>45572.0</v>
      </c>
      <c r="C84" s="9" t="s">
        <v>24</v>
      </c>
      <c r="D84" s="14" t="s">
        <v>79</v>
      </c>
      <c r="E84" s="9" t="s">
        <v>25</v>
      </c>
      <c r="F84" s="9" t="s">
        <v>14</v>
      </c>
      <c r="G84" s="11">
        <v>2228.0</v>
      </c>
      <c r="H84" s="9">
        <v>4.0</v>
      </c>
      <c r="I84" s="12" t="str">
        <f t="array" ref="I84">_xlfn.XLOOKUP(C84, Clientes!A:A, Clientes!C:C) &amp; ", El Salvador"</f>
        <v>Santa Ana, El Salvador</v>
      </c>
      <c r="J84" s="13" t="str">
        <f t="array" ref="J84">_xlfn.XLOOKUP(E84, Tecnicos!A:A, Tecnicos!B:B)</f>
        <v>Sofía Rodas</v>
      </c>
      <c r="K84" s="13" t="str">
        <f t="array" ref="K84">_xlfn.XLOOKUP(C84, Clientes!A:A, Clientes!B:B)</f>
        <v>Hospital San Juan de Dios</v>
      </c>
      <c r="L84" s="13" t="str">
        <f t="array" ref="L84">_xlfn.XLOOKUP(D84, Equipos!A:A, Equipos!B:B)</f>
        <v>Incubadora</v>
      </c>
      <c r="M84" s="9" t="str">
        <f t="array" ref="M84">_xlfn.XLOOKUP(F84, Tipo_Mtto!A:A, Tipo_Mtto!B:B)</f>
        <v>Preventivo Programado</v>
      </c>
    </row>
    <row r="85" ht="14.25" customHeight="1">
      <c r="A85" s="9" t="s">
        <v>182</v>
      </c>
      <c r="B85" s="10">
        <v>45574.0</v>
      </c>
      <c r="C85" s="9" t="s">
        <v>61</v>
      </c>
      <c r="D85" s="14" t="s">
        <v>63</v>
      </c>
      <c r="E85" s="9" t="s">
        <v>11</v>
      </c>
      <c r="F85" s="9" t="s">
        <v>35</v>
      </c>
      <c r="G85" s="11">
        <v>1648.0</v>
      </c>
      <c r="H85" s="9">
        <v>8.0</v>
      </c>
      <c r="I85" s="12" t="str">
        <f t="array" ref="I85">_xlfn.XLOOKUP(C85, Clientes!A:A, Clientes!C:C) &amp; ", El Salvador"</f>
        <v>La Paz, El Salvador</v>
      </c>
      <c r="J85" s="13" t="str">
        <f t="array" ref="J85">_xlfn.XLOOKUP(E85, Tecnicos!A:A, Tecnicos!B:B)</f>
        <v>Carlos Mendoza</v>
      </c>
      <c r="K85" s="13" t="str">
        <f t="array" ref="K85">_xlfn.XLOOKUP(C85, Clientes!A:A, Clientes!B:B)</f>
        <v>Hospital Santa Teresa</v>
      </c>
      <c r="L85" s="13" t="str">
        <f t="array" ref="L85">_xlfn.XLOOKUP(D85, Equipos!A:A, Equipos!B:B)</f>
        <v>Monitor</v>
      </c>
      <c r="M85" s="9" t="str">
        <f t="array" ref="M85">_xlfn.XLOOKUP(F85, Tipo_Mtto!A:A, Tipo_Mtto!B:B)</f>
        <v>Instalación</v>
      </c>
    </row>
    <row r="86" ht="14.25" customHeight="1">
      <c r="A86" s="9" t="s">
        <v>183</v>
      </c>
      <c r="B86" s="10">
        <v>45576.0</v>
      </c>
      <c r="C86" s="9" t="s">
        <v>61</v>
      </c>
      <c r="D86" s="14" t="s">
        <v>36</v>
      </c>
      <c r="E86" s="9" t="s">
        <v>33</v>
      </c>
      <c r="F86" s="9" t="s">
        <v>14</v>
      </c>
      <c r="G86" s="11">
        <v>344.0</v>
      </c>
      <c r="H86" s="9">
        <v>8.0</v>
      </c>
      <c r="I86" s="12" t="str">
        <f t="array" ref="I86">_xlfn.XLOOKUP(C86, Clientes!A:A, Clientes!C:C) &amp; ", El Salvador"</f>
        <v>La Paz, El Salvador</v>
      </c>
      <c r="J86" s="13" t="str">
        <f t="array" ref="J86">_xlfn.XLOOKUP(E86, Tecnicos!A:A, Tecnicos!B:B)</f>
        <v>Juan Pérez</v>
      </c>
      <c r="K86" s="13" t="str">
        <f t="array" ref="K86">_xlfn.XLOOKUP(C86, Clientes!A:A, Clientes!B:B)</f>
        <v>Hospital Santa Teresa</v>
      </c>
      <c r="L86" s="13" t="str">
        <f t="array" ref="L86">_xlfn.XLOOKUP(D86, Equipos!A:A, Equipos!B:B)</f>
        <v>Ultrasonido</v>
      </c>
      <c r="M86" s="9" t="str">
        <f t="array" ref="M86">_xlfn.XLOOKUP(F86, Tipo_Mtto!A:A, Tipo_Mtto!B:B)</f>
        <v>Preventivo Programado</v>
      </c>
    </row>
    <row r="87" ht="14.25" customHeight="1">
      <c r="A87" s="9" t="s">
        <v>184</v>
      </c>
      <c r="B87" s="10">
        <v>45578.0</v>
      </c>
      <c r="C87" s="9" t="s">
        <v>80</v>
      </c>
      <c r="D87" s="14" t="s">
        <v>87</v>
      </c>
      <c r="E87" s="9" t="s">
        <v>25</v>
      </c>
      <c r="F87" s="9" t="s">
        <v>23</v>
      </c>
      <c r="G87" s="11">
        <v>2254.0</v>
      </c>
      <c r="H87" s="9">
        <v>2.0</v>
      </c>
      <c r="I87" s="12" t="str">
        <f t="array" ref="I87">_xlfn.XLOOKUP(C87, Clientes!A:A, Clientes!C:C) &amp; ", El Salvador"</f>
        <v>San Miguel, El Salvador</v>
      </c>
      <c r="J87" s="13" t="str">
        <f t="array" ref="J87">_xlfn.XLOOKUP(E87, Tecnicos!A:A, Tecnicos!B:B)</f>
        <v>Sofía Rodas</v>
      </c>
      <c r="K87" s="13" t="str">
        <f t="array" ref="K87">_xlfn.XLOOKUP(C87, Clientes!A:A, Clientes!B:B)</f>
        <v>Hospital San Juan de Dios</v>
      </c>
      <c r="L87" s="13" t="str">
        <f t="array" ref="L87">_xlfn.XLOOKUP(D87, Equipos!A:A, Equipos!B:B)</f>
        <v>Desfibrilador</v>
      </c>
      <c r="M87" s="9" t="str">
        <f t="array" ref="M87">_xlfn.XLOOKUP(F87, Tipo_Mtto!A:A, Tipo_Mtto!B:B)</f>
        <v>Correctivo</v>
      </c>
    </row>
    <row r="88" ht="14.25" customHeight="1">
      <c r="A88" s="9" t="s">
        <v>185</v>
      </c>
      <c r="B88" s="10">
        <v>45580.0</v>
      </c>
      <c r="C88" s="9" t="s">
        <v>70</v>
      </c>
      <c r="D88" s="14" t="s">
        <v>87</v>
      </c>
      <c r="E88" s="9" t="s">
        <v>51</v>
      </c>
      <c r="F88" s="9" t="s">
        <v>14</v>
      </c>
      <c r="G88" s="11">
        <v>2492.0</v>
      </c>
      <c r="H88" s="9">
        <v>5.0</v>
      </c>
      <c r="I88" s="12" t="str">
        <f t="array" ref="I88">_xlfn.XLOOKUP(C88, Clientes!A:A, Clientes!C:C) &amp; ", El Salvador"</f>
        <v>San Vicente, El Salvador</v>
      </c>
      <c r="J88" s="13" t="str">
        <f t="array" ref="J88">_xlfn.XLOOKUP(E88, Tecnicos!A:A, Tecnicos!B:B)</f>
        <v>Luis Martínez</v>
      </c>
      <c r="K88" s="13" t="str">
        <f t="array" ref="K88">_xlfn.XLOOKUP(C88, Clientes!A:A, Clientes!B:B)</f>
        <v>Hospital Santa Gertrudis</v>
      </c>
      <c r="L88" s="13" t="str">
        <f t="array" ref="L88">_xlfn.XLOOKUP(D88, Equipos!A:A, Equipos!B:B)</f>
        <v>Desfibrilador</v>
      </c>
      <c r="M88" s="9" t="str">
        <f t="array" ref="M88">_xlfn.XLOOKUP(F88, Tipo_Mtto!A:A, Tipo_Mtto!B:B)</f>
        <v>Preventivo Programado</v>
      </c>
    </row>
    <row r="89" ht="14.25" customHeight="1">
      <c r="A89" s="9" t="s">
        <v>186</v>
      </c>
      <c r="B89" s="10">
        <v>45585.0</v>
      </c>
      <c r="C89" s="9" t="s">
        <v>50</v>
      </c>
      <c r="D89" s="14" t="s">
        <v>79</v>
      </c>
      <c r="E89" s="9" t="s">
        <v>45</v>
      </c>
      <c r="F89" s="9" t="s">
        <v>23</v>
      </c>
      <c r="G89" s="11">
        <v>376.0</v>
      </c>
      <c r="H89" s="9">
        <v>3.0</v>
      </c>
      <c r="I89" s="12" t="str">
        <f t="array" ref="I89">_xlfn.XLOOKUP(C89, Clientes!A:A, Clientes!C:C) &amp; ", El Salvador"</f>
        <v>La Libertad, El Salvador</v>
      </c>
      <c r="J89" s="13" t="str">
        <f t="array" ref="J89">_xlfn.XLOOKUP(E89, Tecnicos!A:A, Tecnicos!B:B)</f>
        <v>Elena Gómez</v>
      </c>
      <c r="K89" s="13" t="str">
        <f t="array" ref="K89">_xlfn.XLOOKUP(C89, Clientes!A:A, Clientes!B:B)</f>
        <v>Hospital San Rafael</v>
      </c>
      <c r="L89" s="13" t="str">
        <f t="array" ref="L89">_xlfn.XLOOKUP(D89, Equipos!A:A, Equipos!B:B)</f>
        <v>Incubadora</v>
      </c>
      <c r="M89" s="9" t="str">
        <f t="array" ref="M89">_xlfn.XLOOKUP(F89, Tipo_Mtto!A:A, Tipo_Mtto!B:B)</f>
        <v>Correctivo</v>
      </c>
    </row>
    <row r="90" ht="14.25" customHeight="1">
      <c r="A90" s="9" t="s">
        <v>187</v>
      </c>
      <c r="B90" s="10">
        <v>45587.0</v>
      </c>
      <c r="C90" s="9" t="s">
        <v>70</v>
      </c>
      <c r="D90" s="14" t="s">
        <v>71</v>
      </c>
      <c r="E90" s="9" t="s">
        <v>11</v>
      </c>
      <c r="F90" s="9" t="s">
        <v>35</v>
      </c>
      <c r="G90" s="11">
        <v>182.0</v>
      </c>
      <c r="H90" s="9">
        <v>1.0</v>
      </c>
      <c r="I90" s="12" t="str">
        <f t="array" ref="I90">_xlfn.XLOOKUP(C90, Clientes!A:A, Clientes!C:C) &amp; ", El Salvador"</f>
        <v>San Vicente, El Salvador</v>
      </c>
      <c r="J90" s="13" t="str">
        <f t="array" ref="J90">_xlfn.XLOOKUP(E90, Tecnicos!A:A, Tecnicos!B:B)</f>
        <v>Carlos Mendoza</v>
      </c>
      <c r="K90" s="13" t="str">
        <f t="array" ref="K90">_xlfn.XLOOKUP(C90, Clientes!A:A, Clientes!B:B)</f>
        <v>Hospital Santa Gertrudis</v>
      </c>
      <c r="L90" s="13" t="str">
        <f t="array" ref="L90">_xlfn.XLOOKUP(D90, Equipos!A:A, Equipos!B:B)</f>
        <v>Ventilador</v>
      </c>
      <c r="M90" s="9" t="str">
        <f t="array" ref="M90">_xlfn.XLOOKUP(F90, Tipo_Mtto!A:A, Tipo_Mtto!B:B)</f>
        <v>Instalación</v>
      </c>
    </row>
    <row r="91" ht="14.25" customHeight="1">
      <c r="A91" s="9" t="s">
        <v>188</v>
      </c>
      <c r="B91" s="10">
        <v>45589.0</v>
      </c>
      <c r="C91" s="9" t="s">
        <v>58</v>
      </c>
      <c r="D91" s="14" t="s">
        <v>71</v>
      </c>
      <c r="E91" s="9" t="s">
        <v>51</v>
      </c>
      <c r="F91" s="9" t="s">
        <v>23</v>
      </c>
      <c r="G91" s="11">
        <v>2389.0</v>
      </c>
      <c r="H91" s="9">
        <v>10.0</v>
      </c>
      <c r="I91" s="12" t="str">
        <f t="array" ref="I91">_xlfn.XLOOKUP(C91, Clientes!A:A, Clientes!C:C) &amp; ", El Salvador"</f>
        <v>Cuscatlán, El Salvador</v>
      </c>
      <c r="J91" s="13" t="str">
        <f t="array" ref="J91">_xlfn.XLOOKUP(E91, Tecnicos!A:A, Tecnicos!B:B)</f>
        <v>Luis Martínez</v>
      </c>
      <c r="K91" s="13" t="str">
        <f t="array" ref="K91">_xlfn.XLOOKUP(C91, Clientes!A:A, Clientes!B:B)</f>
        <v>Hospital de Cojutepeque</v>
      </c>
      <c r="L91" s="13" t="str">
        <f t="array" ref="L91">_xlfn.XLOOKUP(D91, Equipos!A:A, Equipos!B:B)</f>
        <v>Ventilador</v>
      </c>
      <c r="M91" s="9" t="str">
        <f t="array" ref="M91">_xlfn.XLOOKUP(F91, Tipo_Mtto!A:A, Tipo_Mtto!B:B)</f>
        <v>Correctivo</v>
      </c>
    </row>
    <row r="92" ht="14.25" customHeight="1">
      <c r="A92" s="9" t="s">
        <v>189</v>
      </c>
      <c r="B92" s="10">
        <v>45593.0</v>
      </c>
      <c r="C92" s="9" t="s">
        <v>83</v>
      </c>
      <c r="D92" s="14" t="s">
        <v>36</v>
      </c>
      <c r="E92" s="9" t="s">
        <v>33</v>
      </c>
      <c r="F92" s="9" t="s">
        <v>23</v>
      </c>
      <c r="G92" s="11">
        <v>1425.0</v>
      </c>
      <c r="H92" s="9">
        <v>7.0</v>
      </c>
      <c r="I92" s="12" t="str">
        <f t="array" ref="I92">_xlfn.XLOOKUP(C92, Clientes!A:A, Clientes!C:C) &amp; ", El Salvador"</f>
        <v>Morazán, El Salvador</v>
      </c>
      <c r="J92" s="13" t="str">
        <f t="array" ref="J92">_xlfn.XLOOKUP(E92, Tecnicos!A:A, Tecnicos!B:B)</f>
        <v>Juan Pérez</v>
      </c>
      <c r="K92" s="13" t="str">
        <f t="array" ref="K92">_xlfn.XLOOKUP(C92, Clientes!A:A, Clientes!B:B)</f>
        <v>Hospital de San Francisco Gotera</v>
      </c>
      <c r="L92" s="13" t="str">
        <f t="array" ref="L92">_xlfn.XLOOKUP(D92, Equipos!A:A, Equipos!B:B)</f>
        <v>Ultrasonido</v>
      </c>
      <c r="M92" s="9" t="str">
        <f t="array" ref="M92">_xlfn.XLOOKUP(F92, Tipo_Mtto!A:A, Tipo_Mtto!B:B)</f>
        <v>Correctivo</v>
      </c>
    </row>
    <row r="93" ht="14.25" customHeight="1">
      <c r="A93" s="9" t="s">
        <v>190</v>
      </c>
      <c r="B93" s="10">
        <v>45596.0</v>
      </c>
      <c r="C93" s="9" t="s">
        <v>83</v>
      </c>
      <c r="D93" s="14" t="s">
        <v>17</v>
      </c>
      <c r="E93" s="9" t="s">
        <v>33</v>
      </c>
      <c r="F93" s="9" t="s">
        <v>23</v>
      </c>
      <c r="G93" s="11">
        <v>169.0</v>
      </c>
      <c r="H93" s="9">
        <v>1.0</v>
      </c>
      <c r="I93" s="12" t="str">
        <f t="array" ref="I93">_xlfn.XLOOKUP(C93, Clientes!A:A, Clientes!C:C) &amp; ", El Salvador"</f>
        <v>Morazán, El Salvador</v>
      </c>
      <c r="J93" s="13" t="str">
        <f t="array" ref="J93">_xlfn.XLOOKUP(E93, Tecnicos!A:A, Tecnicos!B:B)</f>
        <v>Juan Pérez</v>
      </c>
      <c r="K93" s="13" t="str">
        <f t="array" ref="K93">_xlfn.XLOOKUP(C93, Clientes!A:A, Clientes!B:B)</f>
        <v>Hospital de San Francisco Gotera</v>
      </c>
      <c r="L93" s="13" t="str">
        <f t="array" ref="L93">_xlfn.XLOOKUP(D93, Equipos!A:A, Equipos!B:B)</f>
        <v>Rayos X</v>
      </c>
      <c r="M93" s="9" t="str">
        <f t="array" ref="M93">_xlfn.XLOOKUP(F93, Tipo_Mtto!A:A, Tipo_Mtto!B:B)</f>
        <v>Correctivo</v>
      </c>
    </row>
    <row r="94" ht="14.25" customHeight="1">
      <c r="A94" s="9" t="s">
        <v>191</v>
      </c>
      <c r="B94" s="10">
        <v>45600.0</v>
      </c>
      <c r="C94" s="9" t="s">
        <v>13</v>
      </c>
      <c r="D94" s="14" t="s">
        <v>71</v>
      </c>
      <c r="E94" s="9" t="s">
        <v>25</v>
      </c>
      <c r="F94" s="9" t="s">
        <v>35</v>
      </c>
      <c r="G94" s="11">
        <v>1856.0</v>
      </c>
      <c r="H94" s="9">
        <v>12.0</v>
      </c>
      <c r="I94" s="12" t="str">
        <f t="array" ref="I94">_xlfn.XLOOKUP(C94, Clientes!A:A, Clientes!C:C) &amp; ", El Salvador"</f>
        <v>Ahuachapán, El Salvador</v>
      </c>
      <c r="J94" s="13" t="str">
        <f t="array" ref="J94">_xlfn.XLOOKUP(E94, Tecnicos!A:A, Tecnicos!B:B)</f>
        <v>Sofía Rodas</v>
      </c>
      <c r="K94" s="13" t="str">
        <f t="array" ref="K94">_xlfn.XLOOKUP(C94, Clientes!A:A, Clientes!B:B)</f>
        <v>Hospital Nacional de Ahuachapán</v>
      </c>
      <c r="L94" s="13" t="str">
        <f t="array" ref="L94">_xlfn.XLOOKUP(D94, Equipos!A:A, Equipos!B:B)</f>
        <v>Ventilador</v>
      </c>
      <c r="M94" s="9" t="str">
        <f t="array" ref="M94">_xlfn.XLOOKUP(F94, Tipo_Mtto!A:A, Tipo_Mtto!B:B)</f>
        <v>Instalación</v>
      </c>
    </row>
    <row r="95" ht="14.25" customHeight="1">
      <c r="A95" s="9" t="s">
        <v>192</v>
      </c>
      <c r="B95" s="10">
        <v>45605.0</v>
      </c>
      <c r="C95" s="9" t="s">
        <v>13</v>
      </c>
      <c r="D95" s="14" t="s">
        <v>87</v>
      </c>
      <c r="E95" s="9" t="s">
        <v>45</v>
      </c>
      <c r="F95" s="9" t="s">
        <v>23</v>
      </c>
      <c r="G95" s="11">
        <v>2045.0</v>
      </c>
      <c r="H95" s="9">
        <v>5.0</v>
      </c>
      <c r="I95" s="12" t="str">
        <f t="array" ref="I95">_xlfn.XLOOKUP(C95, Clientes!A:A, Clientes!C:C) &amp; ", El Salvador"</f>
        <v>Ahuachapán, El Salvador</v>
      </c>
      <c r="J95" s="13" t="str">
        <f t="array" ref="J95">_xlfn.XLOOKUP(E95, Tecnicos!A:A, Tecnicos!B:B)</f>
        <v>Elena Gómez</v>
      </c>
      <c r="K95" s="13" t="str">
        <f t="array" ref="K95">_xlfn.XLOOKUP(C95, Clientes!A:A, Clientes!B:B)</f>
        <v>Hospital Nacional de Ahuachapán</v>
      </c>
      <c r="L95" s="13" t="str">
        <f t="array" ref="L95">_xlfn.XLOOKUP(D95, Equipos!A:A, Equipos!B:B)</f>
        <v>Desfibrilador</v>
      </c>
      <c r="M95" s="9" t="str">
        <f t="array" ref="M95">_xlfn.XLOOKUP(F95, Tipo_Mtto!A:A, Tipo_Mtto!B:B)</f>
        <v>Correctivo</v>
      </c>
    </row>
    <row r="96" ht="14.25" customHeight="1">
      <c r="A96" s="9" t="s">
        <v>193</v>
      </c>
      <c r="B96" s="10">
        <v>45607.0</v>
      </c>
      <c r="C96" s="9" t="s">
        <v>88</v>
      </c>
      <c r="D96" s="14" t="s">
        <v>63</v>
      </c>
      <c r="E96" s="9" t="s">
        <v>51</v>
      </c>
      <c r="F96" s="9" t="s">
        <v>14</v>
      </c>
      <c r="G96" s="11">
        <v>918.0</v>
      </c>
      <c r="H96" s="9">
        <v>3.0</v>
      </c>
      <c r="I96" s="12" t="str">
        <f t="array" ref="I96">_xlfn.XLOOKUP(C96, Clientes!A:A, Clientes!C:C) &amp; ", El Salvador"</f>
        <v>La Unión, El Salvador</v>
      </c>
      <c r="J96" s="13" t="str">
        <f t="array" ref="J96">_xlfn.XLOOKUP(E96, Tecnicos!A:A, Tecnicos!B:B)</f>
        <v>Luis Martínez</v>
      </c>
      <c r="K96" s="13" t="str">
        <f t="array" ref="K96">_xlfn.XLOOKUP(C96, Clientes!A:A, Clientes!B:B)</f>
        <v>Hospital de La Unión</v>
      </c>
      <c r="L96" s="13" t="str">
        <f t="array" ref="L96">_xlfn.XLOOKUP(D96, Equipos!A:A, Equipos!B:B)</f>
        <v>Monitor</v>
      </c>
      <c r="M96" s="9" t="str">
        <f t="array" ref="M96">_xlfn.XLOOKUP(F96, Tipo_Mtto!A:A, Tipo_Mtto!B:B)</f>
        <v>Preventivo Programado</v>
      </c>
    </row>
    <row r="97" ht="14.25" customHeight="1">
      <c r="A97" s="9" t="s">
        <v>194</v>
      </c>
      <c r="B97" s="10">
        <v>45610.0</v>
      </c>
      <c r="C97" s="9" t="s">
        <v>44</v>
      </c>
      <c r="D97" s="14" t="s">
        <v>17</v>
      </c>
      <c r="E97" s="9" t="s">
        <v>11</v>
      </c>
      <c r="F97" s="9" t="s">
        <v>14</v>
      </c>
      <c r="G97" s="11">
        <v>1084.0</v>
      </c>
      <c r="H97" s="9">
        <v>9.0</v>
      </c>
      <c r="I97" s="12" t="str">
        <f t="array" ref="I97">_xlfn.XLOOKUP(C97, Clientes!A:A, Clientes!C:C) &amp; ", El Salvador"</f>
        <v>Chalatenango, El Salvador</v>
      </c>
      <c r="J97" s="13" t="str">
        <f t="array" ref="J97">_xlfn.XLOOKUP(E97, Tecnicos!A:A, Tecnicos!B:B)</f>
        <v>Carlos Mendoza</v>
      </c>
      <c r="K97" s="13" t="str">
        <f t="array" ref="K97">_xlfn.XLOOKUP(C97, Clientes!A:A, Clientes!B:B)</f>
        <v>Hospital Dr. Luis Edmundo Vásquez</v>
      </c>
      <c r="L97" s="13" t="str">
        <f t="array" ref="L97">_xlfn.XLOOKUP(D97, Equipos!A:A, Equipos!B:B)</f>
        <v>Rayos X</v>
      </c>
      <c r="M97" s="9" t="str">
        <f t="array" ref="M97">_xlfn.XLOOKUP(F97, Tipo_Mtto!A:A, Tipo_Mtto!B:B)</f>
        <v>Preventivo Programado</v>
      </c>
    </row>
    <row r="98" ht="14.25" customHeight="1">
      <c r="A98" s="9" t="s">
        <v>195</v>
      </c>
      <c r="B98" s="10">
        <v>45613.0</v>
      </c>
      <c r="C98" s="9" t="s">
        <v>34</v>
      </c>
      <c r="D98" s="14" t="s">
        <v>79</v>
      </c>
      <c r="E98" s="9" t="s">
        <v>33</v>
      </c>
      <c r="F98" s="9" t="s">
        <v>23</v>
      </c>
      <c r="G98" s="11">
        <v>1767.0</v>
      </c>
      <c r="H98" s="9">
        <v>3.0</v>
      </c>
      <c r="I98" s="12" t="str">
        <f t="array" ref="I98">_xlfn.XLOOKUP(C98, Clientes!A:A, Clientes!C:C) &amp; ", El Salvador"</f>
        <v>Sonsonate, El Salvador</v>
      </c>
      <c r="J98" s="13" t="str">
        <f t="array" ref="J98">_xlfn.XLOOKUP(E98, Tecnicos!A:A, Tecnicos!B:B)</f>
        <v>Juan Pérez</v>
      </c>
      <c r="K98" s="13" t="str">
        <f t="array" ref="K98">_xlfn.XLOOKUP(C98, Clientes!A:A, Clientes!B:B)</f>
        <v>Hospital Jorge Mazzini</v>
      </c>
      <c r="L98" s="13" t="str">
        <f t="array" ref="L98">_xlfn.XLOOKUP(D98, Equipos!A:A, Equipos!B:B)</f>
        <v>Incubadora</v>
      </c>
      <c r="M98" s="9" t="str">
        <f t="array" ref="M98">_xlfn.XLOOKUP(F98, Tipo_Mtto!A:A, Tipo_Mtto!B:B)</f>
        <v>Correctivo</v>
      </c>
    </row>
    <row r="99" ht="14.25" customHeight="1">
      <c r="A99" s="9" t="s">
        <v>196</v>
      </c>
      <c r="B99" s="10">
        <v>45619.0</v>
      </c>
      <c r="C99" s="9" t="s">
        <v>75</v>
      </c>
      <c r="D99" s="14" t="s">
        <v>36</v>
      </c>
      <c r="E99" s="9" t="s">
        <v>25</v>
      </c>
      <c r="F99" s="9" t="s">
        <v>35</v>
      </c>
      <c r="G99" s="11">
        <v>754.0</v>
      </c>
      <c r="H99" s="9">
        <v>1.0</v>
      </c>
      <c r="I99" s="12" t="str">
        <f t="array" ref="I99">_xlfn.XLOOKUP(C99, Clientes!A:A, Clientes!C:C) &amp; ", El Salvador"</f>
        <v>Usulután, El Salvador</v>
      </c>
      <c r="J99" s="13" t="str">
        <f t="array" ref="J99">_xlfn.XLOOKUP(E99, Tecnicos!A:A, Tecnicos!B:B)</f>
        <v>Sofía Rodas</v>
      </c>
      <c r="K99" s="13" t="str">
        <f t="array" ref="K99">_xlfn.XLOOKUP(C99, Clientes!A:A, Clientes!B:B)</f>
        <v>Hospital de Usulután</v>
      </c>
      <c r="L99" s="13" t="str">
        <f t="array" ref="L99">_xlfn.XLOOKUP(D99, Equipos!A:A, Equipos!B:B)</f>
        <v>Ultrasonido</v>
      </c>
      <c r="M99" s="9" t="str">
        <f t="array" ref="M99">_xlfn.XLOOKUP(F99, Tipo_Mtto!A:A, Tipo_Mtto!B:B)</f>
        <v>Instalación</v>
      </c>
    </row>
    <row r="100" ht="14.25" customHeight="1">
      <c r="A100" s="9" t="s">
        <v>197</v>
      </c>
      <c r="B100" s="10">
        <v>45622.0</v>
      </c>
      <c r="C100" s="9" t="s">
        <v>50</v>
      </c>
      <c r="D100" s="14" t="s">
        <v>87</v>
      </c>
      <c r="E100" s="9" t="s">
        <v>45</v>
      </c>
      <c r="F100" s="9" t="s">
        <v>14</v>
      </c>
      <c r="G100" s="11">
        <v>1878.0</v>
      </c>
      <c r="H100" s="9">
        <v>1.0</v>
      </c>
      <c r="I100" s="12" t="str">
        <f t="array" ref="I100">_xlfn.XLOOKUP(C100, Clientes!A:A, Clientes!C:C) &amp; ", El Salvador"</f>
        <v>La Libertad, El Salvador</v>
      </c>
      <c r="J100" s="13" t="str">
        <f t="array" ref="J100">_xlfn.XLOOKUP(E100, Tecnicos!A:A, Tecnicos!B:B)</f>
        <v>Elena Gómez</v>
      </c>
      <c r="K100" s="13" t="str">
        <f t="array" ref="K100">_xlfn.XLOOKUP(C100, Clientes!A:A, Clientes!B:B)</f>
        <v>Hospital San Rafael</v>
      </c>
      <c r="L100" s="13" t="str">
        <f t="array" ref="L100">_xlfn.XLOOKUP(D100, Equipos!A:A, Equipos!B:B)</f>
        <v>Desfibrilador</v>
      </c>
      <c r="M100" s="9" t="str">
        <f t="array" ref="M100">_xlfn.XLOOKUP(F100, Tipo_Mtto!A:A, Tipo_Mtto!B:B)</f>
        <v>Preventivo Programado</v>
      </c>
    </row>
    <row r="101" ht="14.25" customHeight="1">
      <c r="A101" s="9" t="s">
        <v>198</v>
      </c>
      <c r="B101" s="10">
        <v>45624.0</v>
      </c>
      <c r="C101" s="9" t="s">
        <v>65</v>
      </c>
      <c r="D101" s="14" t="s">
        <v>87</v>
      </c>
      <c r="E101" s="9" t="s">
        <v>45</v>
      </c>
      <c r="F101" s="9" t="s">
        <v>35</v>
      </c>
      <c r="G101" s="11">
        <v>236.0</v>
      </c>
      <c r="H101" s="9">
        <v>5.0</v>
      </c>
      <c r="I101" s="12" t="str">
        <f t="array" ref="I101">_xlfn.XLOOKUP(C101, Clientes!A:A, Clientes!C:C) &amp; ", El Salvador"</f>
        <v>Cabañas, El Salvador</v>
      </c>
      <c r="J101" s="13" t="str">
        <f t="array" ref="J101">_xlfn.XLOOKUP(E101, Tecnicos!A:A, Tecnicos!B:B)</f>
        <v>Elena Gómez</v>
      </c>
      <c r="K101" s="13" t="str">
        <f t="array" ref="K101">_xlfn.XLOOKUP(C101, Clientes!A:A, Clientes!B:B)</f>
        <v>Hospital de Sensuntepeque</v>
      </c>
      <c r="L101" s="13" t="str">
        <f t="array" ref="L101">_xlfn.XLOOKUP(D101, Equipos!A:A, Equipos!B:B)</f>
        <v>Desfibrilador</v>
      </c>
      <c r="M101" s="9" t="str">
        <f t="array" ref="M101">_xlfn.XLOOKUP(F101, Tipo_Mtto!A:A, Tipo_Mtto!B:B)</f>
        <v>Instalación</v>
      </c>
    </row>
    <row r="102" ht="14.25" customHeight="1">
      <c r="A102" s="9" t="s">
        <v>199</v>
      </c>
      <c r="B102" s="10">
        <v>45629.0</v>
      </c>
      <c r="C102" s="9" t="s">
        <v>58</v>
      </c>
      <c r="D102" s="14" t="s">
        <v>17</v>
      </c>
      <c r="E102" s="9" t="s">
        <v>45</v>
      </c>
      <c r="F102" s="9" t="s">
        <v>23</v>
      </c>
      <c r="G102" s="11">
        <v>939.0</v>
      </c>
      <c r="H102" s="9">
        <v>10.0</v>
      </c>
      <c r="I102" s="12" t="str">
        <f t="array" ref="I102">_xlfn.XLOOKUP(C102, Clientes!A:A, Clientes!C:C) &amp; ", El Salvador"</f>
        <v>Cuscatlán, El Salvador</v>
      </c>
      <c r="J102" s="13" t="str">
        <f t="array" ref="J102">_xlfn.XLOOKUP(E102, Tecnicos!A:A, Tecnicos!B:B)</f>
        <v>Elena Gómez</v>
      </c>
      <c r="K102" s="13" t="str">
        <f t="array" ref="K102">_xlfn.XLOOKUP(C102, Clientes!A:A, Clientes!B:B)</f>
        <v>Hospital de Cojutepeque</v>
      </c>
      <c r="L102" s="13" t="str">
        <f t="array" ref="L102">_xlfn.XLOOKUP(D102, Equipos!A:A, Equipos!B:B)</f>
        <v>Rayos X</v>
      </c>
      <c r="M102" s="9" t="str">
        <f t="array" ref="M102">_xlfn.XLOOKUP(F102, Tipo_Mtto!A:A, Tipo_Mtto!B:B)</f>
        <v>Correctivo</v>
      </c>
    </row>
    <row r="103" ht="14.25" customHeight="1">
      <c r="A103" s="9" t="s">
        <v>200</v>
      </c>
      <c r="B103" s="10">
        <v>45634.0</v>
      </c>
      <c r="C103" s="9" t="s">
        <v>80</v>
      </c>
      <c r="D103" s="14" t="s">
        <v>36</v>
      </c>
      <c r="E103" s="9" t="s">
        <v>11</v>
      </c>
      <c r="F103" s="9" t="s">
        <v>35</v>
      </c>
      <c r="G103" s="11">
        <v>1176.0</v>
      </c>
      <c r="H103" s="9">
        <v>6.0</v>
      </c>
      <c r="I103" s="12" t="str">
        <f t="array" ref="I103">_xlfn.XLOOKUP(C103, Clientes!A:A, Clientes!C:C) &amp; ", El Salvador"</f>
        <v>San Miguel, El Salvador</v>
      </c>
      <c r="J103" s="13" t="str">
        <f t="array" ref="J103">_xlfn.XLOOKUP(E103, Tecnicos!A:A, Tecnicos!B:B)</f>
        <v>Carlos Mendoza</v>
      </c>
      <c r="K103" s="13" t="str">
        <f t="array" ref="K103">_xlfn.XLOOKUP(C103, Clientes!A:A, Clientes!B:B)</f>
        <v>Hospital San Juan de Dios</v>
      </c>
      <c r="L103" s="13" t="str">
        <f t="array" ref="L103">_xlfn.XLOOKUP(D103, Equipos!A:A, Equipos!B:B)</f>
        <v>Ultrasonido</v>
      </c>
      <c r="M103" s="9" t="str">
        <f t="array" ref="M103">_xlfn.XLOOKUP(F103, Tipo_Mtto!A:A, Tipo_Mtto!B:B)</f>
        <v>Instalación</v>
      </c>
    </row>
    <row r="104" ht="14.25" customHeight="1">
      <c r="A104" s="9" t="s">
        <v>201</v>
      </c>
      <c r="B104" s="10">
        <v>45639.0</v>
      </c>
      <c r="C104" s="9" t="s">
        <v>55</v>
      </c>
      <c r="D104" s="14" t="s">
        <v>79</v>
      </c>
      <c r="E104" s="9" t="s">
        <v>45</v>
      </c>
      <c r="F104" s="9" t="s">
        <v>35</v>
      </c>
      <c r="G104" s="11">
        <v>865.0</v>
      </c>
      <c r="H104" s="9">
        <v>7.0</v>
      </c>
      <c r="I104" s="12" t="str">
        <f t="array" ref="I104">_xlfn.XLOOKUP(C104, Clientes!A:A, Clientes!C:C) &amp; ", El Salvador"</f>
        <v>San Salvador, El Salvador</v>
      </c>
      <c r="J104" s="13" t="str">
        <f t="array" ref="J104">_xlfn.XLOOKUP(E104, Tecnicos!A:A, Tecnicos!B:B)</f>
        <v>Elena Gómez</v>
      </c>
      <c r="K104" s="13" t="str">
        <f t="array" ref="K104">_xlfn.XLOOKUP(C104, Clientes!A:A, Clientes!B:B)</f>
        <v>Hospital Nacional Rosales</v>
      </c>
      <c r="L104" s="13" t="str">
        <f t="array" ref="L104">_xlfn.XLOOKUP(D104, Equipos!A:A, Equipos!B:B)</f>
        <v>Incubadora</v>
      </c>
      <c r="M104" s="9" t="str">
        <f t="array" ref="M104">_xlfn.XLOOKUP(F104, Tipo_Mtto!A:A, Tipo_Mtto!B:B)</f>
        <v>Instalación</v>
      </c>
    </row>
    <row r="105" ht="14.25" customHeight="1">
      <c r="A105" s="9" t="s">
        <v>202</v>
      </c>
      <c r="B105" s="10">
        <v>45643.0</v>
      </c>
      <c r="C105" s="9" t="s">
        <v>44</v>
      </c>
      <c r="D105" s="14" t="s">
        <v>87</v>
      </c>
      <c r="E105" s="9" t="s">
        <v>11</v>
      </c>
      <c r="F105" s="9" t="s">
        <v>35</v>
      </c>
      <c r="G105" s="11">
        <v>1193.0</v>
      </c>
      <c r="H105" s="9">
        <v>1.0</v>
      </c>
      <c r="I105" s="12" t="str">
        <f t="array" ref="I105">_xlfn.XLOOKUP(C105, Clientes!A:A, Clientes!C:C) &amp; ", El Salvador"</f>
        <v>Chalatenango, El Salvador</v>
      </c>
      <c r="J105" s="13" t="str">
        <f t="array" ref="J105">_xlfn.XLOOKUP(E105, Tecnicos!A:A, Tecnicos!B:B)</f>
        <v>Carlos Mendoza</v>
      </c>
      <c r="K105" s="13" t="str">
        <f t="array" ref="K105">_xlfn.XLOOKUP(C105, Clientes!A:A, Clientes!B:B)</f>
        <v>Hospital Dr. Luis Edmundo Vásquez</v>
      </c>
      <c r="L105" s="13" t="str">
        <f t="array" ref="L105">_xlfn.XLOOKUP(D105, Equipos!A:A, Equipos!B:B)</f>
        <v>Desfibrilador</v>
      </c>
      <c r="M105" s="9" t="str">
        <f t="array" ref="M105">_xlfn.XLOOKUP(F105, Tipo_Mtto!A:A, Tipo_Mtto!B:B)</f>
        <v>Instalación</v>
      </c>
    </row>
    <row r="106" ht="14.25" customHeight="1">
      <c r="A106" s="9" t="s">
        <v>203</v>
      </c>
      <c r="B106" s="10">
        <v>45648.0</v>
      </c>
      <c r="C106" s="9" t="s">
        <v>83</v>
      </c>
      <c r="D106" s="14" t="s">
        <v>17</v>
      </c>
      <c r="E106" s="9" t="s">
        <v>33</v>
      </c>
      <c r="F106" s="9" t="s">
        <v>35</v>
      </c>
      <c r="G106" s="11">
        <v>980.0</v>
      </c>
      <c r="H106" s="9">
        <v>3.0</v>
      </c>
      <c r="I106" s="12" t="str">
        <f t="array" ref="I106">_xlfn.XLOOKUP(C106, Clientes!A:A, Clientes!C:C) &amp; ", El Salvador"</f>
        <v>Morazán, El Salvador</v>
      </c>
      <c r="J106" s="13" t="str">
        <f t="array" ref="J106">_xlfn.XLOOKUP(E106, Tecnicos!A:A, Tecnicos!B:B)</f>
        <v>Juan Pérez</v>
      </c>
      <c r="K106" s="13" t="str">
        <f t="array" ref="K106">_xlfn.XLOOKUP(C106, Clientes!A:A, Clientes!B:B)</f>
        <v>Hospital de San Francisco Gotera</v>
      </c>
      <c r="L106" s="13" t="str">
        <f t="array" ref="L106">_xlfn.XLOOKUP(D106, Equipos!A:A, Equipos!B:B)</f>
        <v>Rayos X</v>
      </c>
      <c r="M106" s="9" t="str">
        <f t="array" ref="M106">_xlfn.XLOOKUP(F106, Tipo_Mtto!A:A, Tipo_Mtto!B:B)</f>
        <v>Instalación</v>
      </c>
    </row>
    <row r="107" ht="14.25" customHeight="1">
      <c r="A107" s="9" t="s">
        <v>204</v>
      </c>
      <c r="B107" s="10">
        <v>45652.0</v>
      </c>
      <c r="C107" s="9" t="s">
        <v>88</v>
      </c>
      <c r="D107" s="14" t="s">
        <v>63</v>
      </c>
      <c r="E107" s="9" t="s">
        <v>25</v>
      </c>
      <c r="F107" s="9" t="s">
        <v>35</v>
      </c>
      <c r="G107" s="11">
        <v>2221.0</v>
      </c>
      <c r="H107" s="9">
        <v>5.0</v>
      </c>
      <c r="I107" s="12" t="str">
        <f t="array" ref="I107">_xlfn.XLOOKUP(C107, Clientes!A:A, Clientes!C:C) &amp; ", El Salvador"</f>
        <v>La Unión, El Salvador</v>
      </c>
      <c r="J107" s="13" t="str">
        <f t="array" ref="J107">_xlfn.XLOOKUP(E107, Tecnicos!A:A, Tecnicos!B:B)</f>
        <v>Sofía Rodas</v>
      </c>
      <c r="K107" s="13" t="str">
        <f t="array" ref="K107">_xlfn.XLOOKUP(C107, Clientes!A:A, Clientes!B:B)</f>
        <v>Hospital de La Unión</v>
      </c>
      <c r="L107" s="13" t="str">
        <f t="array" ref="L107">_xlfn.XLOOKUP(D107, Equipos!A:A, Equipos!B:B)</f>
        <v>Monitor</v>
      </c>
      <c r="M107" s="9" t="str">
        <f t="array" ref="M107">_xlfn.XLOOKUP(F107, Tipo_Mtto!A:A, Tipo_Mtto!B:B)</f>
        <v>Instalación</v>
      </c>
    </row>
    <row r="108" ht="14.25" customHeight="1">
      <c r="A108" s="9" t="s">
        <v>205</v>
      </c>
      <c r="B108" s="10">
        <v>45654.0</v>
      </c>
      <c r="C108" s="9" t="s">
        <v>50</v>
      </c>
      <c r="D108" s="14" t="s">
        <v>71</v>
      </c>
      <c r="E108" s="9" t="s">
        <v>51</v>
      </c>
      <c r="F108" s="9" t="s">
        <v>23</v>
      </c>
      <c r="G108" s="11">
        <v>2052.0</v>
      </c>
      <c r="H108" s="9">
        <v>10.0</v>
      </c>
      <c r="I108" s="12" t="str">
        <f t="array" ref="I108">_xlfn.XLOOKUP(C108, Clientes!A:A, Clientes!C:C) &amp; ", El Salvador"</f>
        <v>La Libertad, El Salvador</v>
      </c>
      <c r="J108" s="13" t="str">
        <f t="array" ref="J108">_xlfn.XLOOKUP(E108, Tecnicos!A:A, Tecnicos!B:B)</f>
        <v>Luis Martínez</v>
      </c>
      <c r="K108" s="13" t="str">
        <f t="array" ref="K108">_xlfn.XLOOKUP(C108, Clientes!A:A, Clientes!B:B)</f>
        <v>Hospital San Rafael</v>
      </c>
      <c r="L108" s="13" t="str">
        <f t="array" ref="L108">_xlfn.XLOOKUP(D108, Equipos!A:A, Equipos!B:B)</f>
        <v>Ventilador</v>
      </c>
      <c r="M108" s="9" t="str">
        <f t="array" ref="M108">_xlfn.XLOOKUP(F108, Tipo_Mtto!A:A, Tipo_Mtto!B:B)</f>
        <v>Correctivo</v>
      </c>
    </row>
    <row r="109" ht="14.25" customHeight="1">
      <c r="A109" s="9" t="s">
        <v>206</v>
      </c>
      <c r="B109" s="10">
        <v>45657.0</v>
      </c>
      <c r="C109" s="9" t="s">
        <v>13</v>
      </c>
      <c r="D109" s="14" t="s">
        <v>71</v>
      </c>
      <c r="E109" s="9" t="s">
        <v>45</v>
      </c>
      <c r="F109" s="9" t="s">
        <v>14</v>
      </c>
      <c r="G109" s="11">
        <v>928.0</v>
      </c>
      <c r="H109" s="9">
        <v>6.0</v>
      </c>
      <c r="I109" s="12" t="str">
        <f t="array" ref="I109">_xlfn.XLOOKUP(C109, Clientes!A:A, Clientes!C:C) &amp; ", El Salvador"</f>
        <v>Ahuachapán, El Salvador</v>
      </c>
      <c r="J109" s="13" t="str">
        <f t="array" ref="J109">_xlfn.XLOOKUP(E109, Tecnicos!A:A, Tecnicos!B:B)</f>
        <v>Elena Gómez</v>
      </c>
      <c r="K109" s="13" t="str">
        <f t="array" ref="K109">_xlfn.XLOOKUP(C109, Clientes!A:A, Clientes!B:B)</f>
        <v>Hospital Nacional de Ahuachapán</v>
      </c>
      <c r="L109" s="13" t="str">
        <f t="array" ref="L109">_xlfn.XLOOKUP(D109, Equipos!A:A, Equipos!B:B)</f>
        <v>Ventilador</v>
      </c>
      <c r="M109" s="9" t="str">
        <f t="array" ref="M109">_xlfn.XLOOKUP(F109, Tipo_Mtto!A:A, Tipo_Mtto!B:B)</f>
        <v>Preventivo Programado</v>
      </c>
    </row>
    <row r="110" ht="14.25" customHeight="1">
      <c r="A110" s="9" t="s">
        <v>207</v>
      </c>
      <c r="B110" s="10">
        <v>45661.0</v>
      </c>
      <c r="C110" s="9" t="s">
        <v>83</v>
      </c>
      <c r="D110" s="14" t="s">
        <v>63</v>
      </c>
      <c r="E110" s="9" t="s">
        <v>51</v>
      </c>
      <c r="F110" s="9" t="s">
        <v>35</v>
      </c>
      <c r="G110" s="11">
        <v>2480.0</v>
      </c>
      <c r="H110" s="9">
        <v>3.0</v>
      </c>
      <c r="I110" s="12" t="str">
        <f t="array" ref="I110">_xlfn.XLOOKUP(C110, Clientes!A:A, Clientes!C:C) &amp; ", El Salvador"</f>
        <v>Morazán, El Salvador</v>
      </c>
      <c r="J110" s="13" t="str">
        <f t="array" ref="J110">_xlfn.XLOOKUP(E110, Tecnicos!A:A, Tecnicos!B:B)</f>
        <v>Luis Martínez</v>
      </c>
      <c r="K110" s="13" t="str">
        <f t="array" ref="K110">_xlfn.XLOOKUP(C110, Clientes!A:A, Clientes!B:B)</f>
        <v>Hospital de San Francisco Gotera</v>
      </c>
      <c r="L110" s="13" t="str">
        <f t="array" ref="L110">_xlfn.XLOOKUP(D110, Equipos!A:A, Equipos!B:B)</f>
        <v>Monitor</v>
      </c>
      <c r="M110" s="9" t="str">
        <f t="array" ref="M110">_xlfn.XLOOKUP(F110, Tipo_Mtto!A:A, Tipo_Mtto!B:B)</f>
        <v>Instalación</v>
      </c>
    </row>
    <row r="111" ht="14.25" customHeight="1">
      <c r="A111" s="9" t="s">
        <v>208</v>
      </c>
      <c r="B111" s="10">
        <v>45664.0</v>
      </c>
      <c r="C111" s="9" t="s">
        <v>88</v>
      </c>
      <c r="D111" s="14" t="s">
        <v>36</v>
      </c>
      <c r="E111" s="9" t="s">
        <v>51</v>
      </c>
      <c r="F111" s="9" t="s">
        <v>35</v>
      </c>
      <c r="G111" s="11">
        <v>953.0</v>
      </c>
      <c r="H111" s="9">
        <v>8.0</v>
      </c>
      <c r="I111" s="12" t="str">
        <f t="array" ref="I111">_xlfn.XLOOKUP(C111, Clientes!A:A, Clientes!C:C) &amp; ", El Salvador"</f>
        <v>La Unión, El Salvador</v>
      </c>
      <c r="J111" s="13" t="str">
        <f t="array" ref="J111">_xlfn.XLOOKUP(E111, Tecnicos!A:A, Tecnicos!B:B)</f>
        <v>Luis Martínez</v>
      </c>
      <c r="K111" s="13" t="str">
        <f t="array" ref="K111">_xlfn.XLOOKUP(C111, Clientes!A:A, Clientes!B:B)</f>
        <v>Hospital de La Unión</v>
      </c>
      <c r="L111" s="13" t="str">
        <f t="array" ref="L111">_xlfn.XLOOKUP(D111, Equipos!A:A, Equipos!B:B)</f>
        <v>Ultrasonido</v>
      </c>
      <c r="M111" s="9" t="str">
        <f t="array" ref="M111">_xlfn.XLOOKUP(F111, Tipo_Mtto!A:A, Tipo_Mtto!B:B)</f>
        <v>Instalación</v>
      </c>
    </row>
    <row r="112" ht="14.25" customHeight="1">
      <c r="A112" s="9" t="s">
        <v>209</v>
      </c>
      <c r="B112" s="10">
        <v>45668.0</v>
      </c>
      <c r="C112" s="9" t="s">
        <v>24</v>
      </c>
      <c r="D112" s="14" t="s">
        <v>87</v>
      </c>
      <c r="E112" s="9" t="s">
        <v>11</v>
      </c>
      <c r="F112" s="9" t="s">
        <v>14</v>
      </c>
      <c r="G112" s="11">
        <v>1822.0</v>
      </c>
      <c r="H112" s="9">
        <v>11.0</v>
      </c>
      <c r="I112" s="12" t="str">
        <f t="array" ref="I112">_xlfn.XLOOKUP(C112, Clientes!A:A, Clientes!C:C) &amp; ", El Salvador"</f>
        <v>Santa Ana, El Salvador</v>
      </c>
      <c r="J112" s="13" t="str">
        <f t="array" ref="J112">_xlfn.XLOOKUP(E112, Tecnicos!A:A, Tecnicos!B:B)</f>
        <v>Carlos Mendoza</v>
      </c>
      <c r="K112" s="13" t="str">
        <f t="array" ref="K112">_xlfn.XLOOKUP(C112, Clientes!A:A, Clientes!B:B)</f>
        <v>Hospital San Juan de Dios</v>
      </c>
      <c r="L112" s="13" t="str">
        <f t="array" ref="L112">_xlfn.XLOOKUP(D112, Equipos!A:A, Equipos!B:B)</f>
        <v>Desfibrilador</v>
      </c>
      <c r="M112" s="9" t="str">
        <f t="array" ref="M112">_xlfn.XLOOKUP(F112, Tipo_Mtto!A:A, Tipo_Mtto!B:B)</f>
        <v>Preventivo Programado</v>
      </c>
    </row>
    <row r="113" ht="14.25" customHeight="1">
      <c r="A113" s="9" t="s">
        <v>210</v>
      </c>
      <c r="B113" s="10">
        <v>45671.0</v>
      </c>
      <c r="C113" s="9" t="s">
        <v>75</v>
      </c>
      <c r="D113" s="14" t="s">
        <v>79</v>
      </c>
      <c r="E113" s="9" t="s">
        <v>11</v>
      </c>
      <c r="F113" s="9" t="s">
        <v>14</v>
      </c>
      <c r="G113" s="11">
        <v>1943.0</v>
      </c>
      <c r="H113" s="9">
        <v>6.0</v>
      </c>
      <c r="I113" s="12" t="str">
        <f t="array" ref="I113">_xlfn.XLOOKUP(C113, Clientes!A:A, Clientes!C:C) &amp; ", El Salvador"</f>
        <v>Usulután, El Salvador</v>
      </c>
      <c r="J113" s="13" t="str">
        <f t="array" ref="J113">_xlfn.XLOOKUP(E113, Tecnicos!A:A, Tecnicos!B:B)</f>
        <v>Carlos Mendoza</v>
      </c>
      <c r="K113" s="13" t="str">
        <f t="array" ref="K113">_xlfn.XLOOKUP(C113, Clientes!A:A, Clientes!B:B)</f>
        <v>Hospital de Usulután</v>
      </c>
      <c r="L113" s="13" t="str">
        <f t="array" ref="L113">_xlfn.XLOOKUP(D113, Equipos!A:A, Equipos!B:B)</f>
        <v>Incubadora</v>
      </c>
      <c r="M113" s="9" t="str">
        <f t="array" ref="M113">_xlfn.XLOOKUP(F113, Tipo_Mtto!A:A, Tipo_Mtto!B:B)</f>
        <v>Preventivo Programado</v>
      </c>
    </row>
    <row r="114" ht="14.25" customHeight="1">
      <c r="A114" s="9" t="s">
        <v>211</v>
      </c>
      <c r="B114" s="10">
        <v>45676.0</v>
      </c>
      <c r="C114" s="9" t="s">
        <v>75</v>
      </c>
      <c r="D114" s="14" t="s">
        <v>36</v>
      </c>
      <c r="E114" s="9" t="s">
        <v>33</v>
      </c>
      <c r="F114" s="9" t="s">
        <v>35</v>
      </c>
      <c r="G114" s="11">
        <v>1494.0</v>
      </c>
      <c r="H114" s="9">
        <v>7.0</v>
      </c>
      <c r="I114" s="12" t="str">
        <f t="array" ref="I114">_xlfn.XLOOKUP(C114, Clientes!A:A, Clientes!C:C) &amp; ", El Salvador"</f>
        <v>Usulután, El Salvador</v>
      </c>
      <c r="J114" s="13" t="str">
        <f t="array" ref="J114">_xlfn.XLOOKUP(E114, Tecnicos!A:A, Tecnicos!B:B)</f>
        <v>Juan Pérez</v>
      </c>
      <c r="K114" s="13" t="str">
        <f t="array" ref="K114">_xlfn.XLOOKUP(C114, Clientes!A:A, Clientes!B:B)</f>
        <v>Hospital de Usulután</v>
      </c>
      <c r="L114" s="13" t="str">
        <f t="array" ref="L114">_xlfn.XLOOKUP(D114, Equipos!A:A, Equipos!B:B)</f>
        <v>Ultrasonido</v>
      </c>
      <c r="M114" s="9" t="str">
        <f t="array" ref="M114">_xlfn.XLOOKUP(F114, Tipo_Mtto!A:A, Tipo_Mtto!B:B)</f>
        <v>Instalación</v>
      </c>
    </row>
    <row r="115" ht="14.25" customHeight="1">
      <c r="A115" s="9" t="s">
        <v>212</v>
      </c>
      <c r="B115" s="10">
        <v>45677.0</v>
      </c>
      <c r="C115" s="9" t="s">
        <v>83</v>
      </c>
      <c r="D115" s="14" t="s">
        <v>79</v>
      </c>
      <c r="E115" s="9" t="s">
        <v>11</v>
      </c>
      <c r="F115" s="9" t="s">
        <v>35</v>
      </c>
      <c r="G115" s="11">
        <v>578.0</v>
      </c>
      <c r="H115" s="9">
        <v>8.0</v>
      </c>
      <c r="I115" s="12" t="str">
        <f t="array" ref="I115">_xlfn.XLOOKUP(C115, Clientes!A:A, Clientes!C:C) &amp; ", El Salvador"</f>
        <v>Morazán, El Salvador</v>
      </c>
      <c r="J115" s="13" t="str">
        <f t="array" ref="J115">_xlfn.XLOOKUP(E115, Tecnicos!A:A, Tecnicos!B:B)</f>
        <v>Carlos Mendoza</v>
      </c>
      <c r="K115" s="13" t="str">
        <f t="array" ref="K115">_xlfn.XLOOKUP(C115, Clientes!A:A, Clientes!B:B)</f>
        <v>Hospital de San Francisco Gotera</v>
      </c>
      <c r="L115" s="13" t="str">
        <f t="array" ref="L115">_xlfn.XLOOKUP(D115, Equipos!A:A, Equipos!B:B)</f>
        <v>Incubadora</v>
      </c>
      <c r="M115" s="9" t="str">
        <f t="array" ref="M115">_xlfn.XLOOKUP(F115, Tipo_Mtto!A:A, Tipo_Mtto!B:B)</f>
        <v>Instalación</v>
      </c>
    </row>
    <row r="116" ht="14.25" customHeight="1">
      <c r="A116" s="9" t="s">
        <v>213</v>
      </c>
      <c r="B116" s="10">
        <v>45683.0</v>
      </c>
      <c r="C116" s="9" t="s">
        <v>13</v>
      </c>
      <c r="D116" s="14" t="s">
        <v>71</v>
      </c>
      <c r="E116" s="9" t="s">
        <v>11</v>
      </c>
      <c r="F116" s="9" t="s">
        <v>35</v>
      </c>
      <c r="G116" s="11">
        <v>2050.0</v>
      </c>
      <c r="H116" s="9">
        <v>12.0</v>
      </c>
      <c r="I116" s="12" t="str">
        <f t="array" ref="I116">_xlfn.XLOOKUP(C116, Clientes!A:A, Clientes!C:C) &amp; ", El Salvador"</f>
        <v>Ahuachapán, El Salvador</v>
      </c>
      <c r="J116" s="13" t="str">
        <f t="array" ref="J116">_xlfn.XLOOKUP(E116, Tecnicos!A:A, Tecnicos!B:B)</f>
        <v>Carlos Mendoza</v>
      </c>
      <c r="K116" s="13" t="str">
        <f t="array" ref="K116">_xlfn.XLOOKUP(C116, Clientes!A:A, Clientes!B:B)</f>
        <v>Hospital Nacional de Ahuachapán</v>
      </c>
      <c r="L116" s="13" t="str">
        <f t="array" ref="L116">_xlfn.XLOOKUP(D116, Equipos!A:A, Equipos!B:B)</f>
        <v>Ventilador</v>
      </c>
      <c r="M116" s="9" t="str">
        <f t="array" ref="M116">_xlfn.XLOOKUP(F116, Tipo_Mtto!A:A, Tipo_Mtto!B:B)</f>
        <v>Instalación</v>
      </c>
    </row>
    <row r="117" ht="14.25" customHeight="1">
      <c r="A117" s="9" t="s">
        <v>214</v>
      </c>
      <c r="B117" s="10">
        <v>45684.0</v>
      </c>
      <c r="C117" s="9" t="s">
        <v>34</v>
      </c>
      <c r="D117" s="14" t="s">
        <v>79</v>
      </c>
      <c r="E117" s="9" t="s">
        <v>11</v>
      </c>
      <c r="F117" s="9" t="s">
        <v>35</v>
      </c>
      <c r="G117" s="11">
        <v>2497.0</v>
      </c>
      <c r="H117" s="9">
        <v>11.0</v>
      </c>
      <c r="I117" s="12" t="str">
        <f t="array" ref="I117">_xlfn.XLOOKUP(C117, Clientes!A:A, Clientes!C:C) &amp; ", El Salvador"</f>
        <v>Sonsonate, El Salvador</v>
      </c>
      <c r="J117" s="13" t="str">
        <f t="array" ref="J117">_xlfn.XLOOKUP(E117, Tecnicos!A:A, Tecnicos!B:B)</f>
        <v>Carlos Mendoza</v>
      </c>
      <c r="K117" s="13" t="str">
        <f t="array" ref="K117">_xlfn.XLOOKUP(C117, Clientes!A:A, Clientes!B:B)</f>
        <v>Hospital Jorge Mazzini</v>
      </c>
      <c r="L117" s="13" t="str">
        <f t="array" ref="L117">_xlfn.XLOOKUP(D117, Equipos!A:A, Equipos!B:B)</f>
        <v>Incubadora</v>
      </c>
      <c r="M117" s="9" t="str">
        <f t="array" ref="M117">_xlfn.XLOOKUP(F117, Tipo_Mtto!A:A, Tipo_Mtto!B:B)</f>
        <v>Instalación</v>
      </c>
    </row>
    <row r="118" ht="14.25" customHeight="1">
      <c r="A118" s="9" t="s">
        <v>215</v>
      </c>
      <c r="B118" s="10">
        <v>45690.0</v>
      </c>
      <c r="C118" s="9" t="s">
        <v>44</v>
      </c>
      <c r="D118" s="14" t="s">
        <v>71</v>
      </c>
      <c r="E118" s="9" t="s">
        <v>25</v>
      </c>
      <c r="F118" s="9" t="s">
        <v>23</v>
      </c>
      <c r="G118" s="11">
        <v>249.0</v>
      </c>
      <c r="H118" s="9">
        <v>7.0</v>
      </c>
      <c r="I118" s="12" t="str">
        <f t="array" ref="I118">_xlfn.XLOOKUP(C118, Clientes!A:A, Clientes!C:C) &amp; ", El Salvador"</f>
        <v>Chalatenango, El Salvador</v>
      </c>
      <c r="J118" s="13" t="str">
        <f t="array" ref="J118">_xlfn.XLOOKUP(E118, Tecnicos!A:A, Tecnicos!B:B)</f>
        <v>Sofía Rodas</v>
      </c>
      <c r="K118" s="13" t="str">
        <f t="array" ref="K118">_xlfn.XLOOKUP(C118, Clientes!A:A, Clientes!B:B)</f>
        <v>Hospital Dr. Luis Edmundo Vásquez</v>
      </c>
      <c r="L118" s="13" t="str">
        <f t="array" ref="L118">_xlfn.XLOOKUP(D118, Equipos!A:A, Equipos!B:B)</f>
        <v>Ventilador</v>
      </c>
      <c r="M118" s="9" t="str">
        <f t="array" ref="M118">_xlfn.XLOOKUP(F118, Tipo_Mtto!A:A, Tipo_Mtto!B:B)</f>
        <v>Correctivo</v>
      </c>
    </row>
    <row r="119" ht="14.25" customHeight="1">
      <c r="A119" s="9" t="s">
        <v>216</v>
      </c>
      <c r="B119" s="10">
        <v>45694.0</v>
      </c>
      <c r="C119" s="9" t="s">
        <v>24</v>
      </c>
      <c r="D119" s="14" t="s">
        <v>71</v>
      </c>
      <c r="E119" s="9" t="s">
        <v>11</v>
      </c>
      <c r="F119" s="9" t="s">
        <v>14</v>
      </c>
      <c r="G119" s="11">
        <v>1065.0</v>
      </c>
      <c r="H119" s="9">
        <v>6.0</v>
      </c>
      <c r="I119" s="12" t="str">
        <f t="array" ref="I119">_xlfn.XLOOKUP(C119, Clientes!A:A, Clientes!C:C) &amp; ", El Salvador"</f>
        <v>Santa Ana, El Salvador</v>
      </c>
      <c r="J119" s="13" t="str">
        <f t="array" ref="J119">_xlfn.XLOOKUP(E119, Tecnicos!A:A, Tecnicos!B:B)</f>
        <v>Carlos Mendoza</v>
      </c>
      <c r="K119" s="13" t="str">
        <f t="array" ref="K119">_xlfn.XLOOKUP(C119, Clientes!A:A, Clientes!B:B)</f>
        <v>Hospital San Juan de Dios</v>
      </c>
      <c r="L119" s="13" t="str">
        <f t="array" ref="L119">_xlfn.XLOOKUP(D119, Equipos!A:A, Equipos!B:B)</f>
        <v>Ventilador</v>
      </c>
      <c r="M119" s="9" t="str">
        <f t="array" ref="M119">_xlfn.XLOOKUP(F119, Tipo_Mtto!A:A, Tipo_Mtto!B:B)</f>
        <v>Preventivo Programado</v>
      </c>
    </row>
    <row r="120" ht="14.25" customHeight="1">
      <c r="A120" s="9" t="s">
        <v>217</v>
      </c>
      <c r="B120" s="10">
        <v>45699.0</v>
      </c>
      <c r="C120" s="9" t="s">
        <v>65</v>
      </c>
      <c r="D120" s="14" t="s">
        <v>63</v>
      </c>
      <c r="E120" s="9" t="s">
        <v>25</v>
      </c>
      <c r="F120" s="9" t="s">
        <v>14</v>
      </c>
      <c r="G120" s="11">
        <v>2269.0</v>
      </c>
      <c r="H120" s="9">
        <v>11.0</v>
      </c>
      <c r="I120" s="12" t="str">
        <f t="array" ref="I120">_xlfn.XLOOKUP(C120, Clientes!A:A, Clientes!C:C) &amp; ", El Salvador"</f>
        <v>Cabañas, El Salvador</v>
      </c>
      <c r="J120" s="13" t="str">
        <f t="array" ref="J120">_xlfn.XLOOKUP(E120, Tecnicos!A:A, Tecnicos!B:B)</f>
        <v>Sofía Rodas</v>
      </c>
      <c r="K120" s="13" t="str">
        <f t="array" ref="K120">_xlfn.XLOOKUP(C120, Clientes!A:A, Clientes!B:B)</f>
        <v>Hospital de Sensuntepeque</v>
      </c>
      <c r="L120" s="13" t="str">
        <f t="array" ref="L120">_xlfn.XLOOKUP(D120, Equipos!A:A, Equipos!B:B)</f>
        <v>Monitor</v>
      </c>
      <c r="M120" s="9" t="str">
        <f t="array" ref="M120">_xlfn.XLOOKUP(F120, Tipo_Mtto!A:A, Tipo_Mtto!B:B)</f>
        <v>Preventivo Programado</v>
      </c>
    </row>
    <row r="121" ht="14.25" customHeight="1">
      <c r="A121" s="9" t="s">
        <v>218</v>
      </c>
      <c r="B121" s="10">
        <v>45702.0</v>
      </c>
      <c r="C121" s="9" t="s">
        <v>34</v>
      </c>
      <c r="D121" s="14" t="s">
        <v>71</v>
      </c>
      <c r="E121" s="9" t="s">
        <v>45</v>
      </c>
      <c r="F121" s="9" t="s">
        <v>35</v>
      </c>
      <c r="G121" s="11">
        <v>2319.0</v>
      </c>
      <c r="H121" s="9">
        <v>8.0</v>
      </c>
      <c r="I121" s="12" t="str">
        <f t="array" ref="I121">_xlfn.XLOOKUP(C121, Clientes!A:A, Clientes!C:C) &amp; ", El Salvador"</f>
        <v>Sonsonate, El Salvador</v>
      </c>
      <c r="J121" s="13" t="str">
        <f t="array" ref="J121">_xlfn.XLOOKUP(E121, Tecnicos!A:A, Tecnicos!B:B)</f>
        <v>Elena Gómez</v>
      </c>
      <c r="K121" s="13" t="str">
        <f t="array" ref="K121">_xlfn.XLOOKUP(C121, Clientes!A:A, Clientes!B:B)</f>
        <v>Hospital Jorge Mazzini</v>
      </c>
      <c r="L121" s="13" t="str">
        <f t="array" ref="L121">_xlfn.XLOOKUP(D121, Equipos!A:A, Equipos!B:B)</f>
        <v>Ventilador</v>
      </c>
      <c r="M121" s="9" t="str">
        <f t="array" ref="M121">_xlfn.XLOOKUP(F121, Tipo_Mtto!A:A, Tipo_Mtto!B:B)</f>
        <v>Instalación</v>
      </c>
    </row>
    <row r="122" ht="14.25" customHeight="1">
      <c r="A122" s="9" t="s">
        <v>219</v>
      </c>
      <c r="B122" s="10">
        <v>45706.0</v>
      </c>
      <c r="C122" s="9" t="s">
        <v>55</v>
      </c>
      <c r="D122" s="14" t="s">
        <v>36</v>
      </c>
      <c r="E122" s="9" t="s">
        <v>51</v>
      </c>
      <c r="F122" s="9" t="s">
        <v>23</v>
      </c>
      <c r="G122" s="11">
        <v>655.0</v>
      </c>
      <c r="H122" s="9">
        <v>4.0</v>
      </c>
      <c r="I122" s="12" t="str">
        <f t="array" ref="I122">_xlfn.XLOOKUP(C122, Clientes!A:A, Clientes!C:C) &amp; ", El Salvador"</f>
        <v>San Salvador, El Salvador</v>
      </c>
      <c r="J122" s="13" t="str">
        <f t="array" ref="J122">_xlfn.XLOOKUP(E122, Tecnicos!A:A, Tecnicos!B:B)</f>
        <v>Luis Martínez</v>
      </c>
      <c r="K122" s="13" t="str">
        <f t="array" ref="K122">_xlfn.XLOOKUP(C122, Clientes!A:A, Clientes!B:B)</f>
        <v>Hospital Nacional Rosales</v>
      </c>
      <c r="L122" s="13" t="str">
        <f t="array" ref="L122">_xlfn.XLOOKUP(D122, Equipos!A:A, Equipos!B:B)</f>
        <v>Ultrasonido</v>
      </c>
      <c r="M122" s="9" t="str">
        <f t="array" ref="M122">_xlfn.XLOOKUP(F122, Tipo_Mtto!A:A, Tipo_Mtto!B:B)</f>
        <v>Correctivo</v>
      </c>
    </row>
    <row r="123" ht="14.25" customHeight="1">
      <c r="A123" s="9" t="s">
        <v>220</v>
      </c>
      <c r="B123" s="10">
        <v>45710.0</v>
      </c>
      <c r="C123" s="9" t="s">
        <v>88</v>
      </c>
      <c r="D123" s="14" t="s">
        <v>17</v>
      </c>
      <c r="E123" s="9" t="s">
        <v>11</v>
      </c>
      <c r="F123" s="9" t="s">
        <v>14</v>
      </c>
      <c r="G123" s="11">
        <v>2340.0</v>
      </c>
      <c r="H123" s="9">
        <v>4.0</v>
      </c>
      <c r="I123" s="12" t="str">
        <f t="array" ref="I123">_xlfn.XLOOKUP(C123, Clientes!A:A, Clientes!C:C) &amp; ", El Salvador"</f>
        <v>La Unión, El Salvador</v>
      </c>
      <c r="J123" s="13" t="str">
        <f t="array" ref="J123">_xlfn.XLOOKUP(E123, Tecnicos!A:A, Tecnicos!B:B)</f>
        <v>Carlos Mendoza</v>
      </c>
      <c r="K123" s="13" t="str">
        <f t="array" ref="K123">_xlfn.XLOOKUP(C123, Clientes!A:A, Clientes!B:B)</f>
        <v>Hospital de La Unión</v>
      </c>
      <c r="L123" s="13" t="str">
        <f t="array" ref="L123">_xlfn.XLOOKUP(D123, Equipos!A:A, Equipos!B:B)</f>
        <v>Rayos X</v>
      </c>
      <c r="M123" s="9" t="str">
        <f t="array" ref="M123">_xlfn.XLOOKUP(F123, Tipo_Mtto!A:A, Tipo_Mtto!B:B)</f>
        <v>Preventivo Programado</v>
      </c>
    </row>
    <row r="124" ht="14.25" customHeight="1">
      <c r="A124" s="9" t="s">
        <v>221</v>
      </c>
      <c r="B124" s="10">
        <v>45713.0</v>
      </c>
      <c r="C124" s="9" t="s">
        <v>13</v>
      </c>
      <c r="D124" s="14" t="s">
        <v>87</v>
      </c>
      <c r="E124" s="9" t="s">
        <v>25</v>
      </c>
      <c r="F124" s="9" t="s">
        <v>23</v>
      </c>
      <c r="G124" s="11">
        <v>2106.0</v>
      </c>
      <c r="H124" s="9">
        <v>5.0</v>
      </c>
      <c r="I124" s="12" t="str">
        <f t="array" ref="I124">_xlfn.XLOOKUP(C124, Clientes!A:A, Clientes!C:C) &amp; ", El Salvador"</f>
        <v>Ahuachapán, El Salvador</v>
      </c>
      <c r="J124" s="13" t="str">
        <f t="array" ref="J124">_xlfn.XLOOKUP(E124, Tecnicos!A:A, Tecnicos!B:B)</f>
        <v>Sofía Rodas</v>
      </c>
      <c r="K124" s="13" t="str">
        <f t="array" ref="K124">_xlfn.XLOOKUP(C124, Clientes!A:A, Clientes!B:B)</f>
        <v>Hospital Nacional de Ahuachapán</v>
      </c>
      <c r="L124" s="13" t="str">
        <f t="array" ref="L124">_xlfn.XLOOKUP(D124, Equipos!A:A, Equipos!B:B)</f>
        <v>Desfibrilador</v>
      </c>
      <c r="M124" s="9" t="str">
        <f t="array" ref="M124">_xlfn.XLOOKUP(F124, Tipo_Mtto!A:A, Tipo_Mtto!B:B)</f>
        <v>Correctivo</v>
      </c>
    </row>
    <row r="125" ht="14.25" customHeight="1">
      <c r="A125" s="9" t="s">
        <v>222</v>
      </c>
      <c r="B125" s="10">
        <v>45716.0</v>
      </c>
      <c r="C125" s="9" t="s">
        <v>61</v>
      </c>
      <c r="D125" s="14" t="s">
        <v>71</v>
      </c>
      <c r="E125" s="9" t="s">
        <v>45</v>
      </c>
      <c r="F125" s="9" t="s">
        <v>14</v>
      </c>
      <c r="G125" s="11">
        <v>1721.0</v>
      </c>
      <c r="H125" s="9">
        <v>2.0</v>
      </c>
      <c r="I125" s="12" t="str">
        <f t="array" ref="I125">_xlfn.XLOOKUP(C125, Clientes!A:A, Clientes!C:C) &amp; ", El Salvador"</f>
        <v>La Paz, El Salvador</v>
      </c>
      <c r="J125" s="13" t="str">
        <f t="array" ref="J125">_xlfn.XLOOKUP(E125, Tecnicos!A:A, Tecnicos!B:B)</f>
        <v>Elena Gómez</v>
      </c>
      <c r="K125" s="13" t="str">
        <f t="array" ref="K125">_xlfn.XLOOKUP(C125, Clientes!A:A, Clientes!B:B)</f>
        <v>Hospital Santa Teresa</v>
      </c>
      <c r="L125" s="13" t="str">
        <f t="array" ref="L125">_xlfn.XLOOKUP(D125, Equipos!A:A, Equipos!B:B)</f>
        <v>Ventilador</v>
      </c>
      <c r="M125" s="9" t="str">
        <f t="array" ref="M125">_xlfn.XLOOKUP(F125, Tipo_Mtto!A:A, Tipo_Mtto!B:B)</f>
        <v>Preventivo Programado</v>
      </c>
    </row>
    <row r="126" ht="14.25" customHeight="1">
      <c r="A126" s="9" t="s">
        <v>223</v>
      </c>
      <c r="B126" s="10">
        <v>45721.0</v>
      </c>
      <c r="C126" s="9" t="s">
        <v>83</v>
      </c>
      <c r="D126" s="14" t="s">
        <v>79</v>
      </c>
      <c r="E126" s="9" t="s">
        <v>51</v>
      </c>
      <c r="F126" s="9" t="s">
        <v>35</v>
      </c>
      <c r="G126" s="11">
        <v>622.0</v>
      </c>
      <c r="H126" s="9">
        <v>9.0</v>
      </c>
      <c r="I126" s="12" t="str">
        <f t="array" ref="I126">_xlfn.XLOOKUP(C126, Clientes!A:A, Clientes!C:C) &amp; ", El Salvador"</f>
        <v>Morazán, El Salvador</v>
      </c>
      <c r="J126" s="13" t="str">
        <f t="array" ref="J126">_xlfn.XLOOKUP(E126, Tecnicos!A:A, Tecnicos!B:B)</f>
        <v>Luis Martínez</v>
      </c>
      <c r="K126" s="13" t="str">
        <f t="array" ref="K126">_xlfn.XLOOKUP(C126, Clientes!A:A, Clientes!B:B)</f>
        <v>Hospital de San Francisco Gotera</v>
      </c>
      <c r="L126" s="13" t="str">
        <f t="array" ref="L126">_xlfn.XLOOKUP(D126, Equipos!A:A, Equipos!B:B)</f>
        <v>Incubadora</v>
      </c>
      <c r="M126" s="9" t="str">
        <f t="array" ref="M126">_xlfn.XLOOKUP(F126, Tipo_Mtto!A:A, Tipo_Mtto!B:B)</f>
        <v>Instalación</v>
      </c>
    </row>
    <row r="127" ht="14.25" customHeight="1">
      <c r="A127" s="9" t="s">
        <v>224</v>
      </c>
      <c r="B127" s="10">
        <v>45725.0</v>
      </c>
      <c r="C127" s="9" t="s">
        <v>61</v>
      </c>
      <c r="D127" s="14" t="s">
        <v>87</v>
      </c>
      <c r="E127" s="9" t="s">
        <v>33</v>
      </c>
      <c r="F127" s="9" t="s">
        <v>35</v>
      </c>
      <c r="G127" s="11">
        <v>1249.0</v>
      </c>
      <c r="H127" s="9">
        <v>8.0</v>
      </c>
      <c r="I127" s="12" t="str">
        <f t="array" ref="I127">_xlfn.XLOOKUP(C127, Clientes!A:A, Clientes!C:C) &amp; ", El Salvador"</f>
        <v>La Paz, El Salvador</v>
      </c>
      <c r="J127" s="13" t="str">
        <f t="array" ref="J127">_xlfn.XLOOKUP(E127, Tecnicos!A:A, Tecnicos!B:B)</f>
        <v>Juan Pérez</v>
      </c>
      <c r="K127" s="13" t="str">
        <f t="array" ref="K127">_xlfn.XLOOKUP(C127, Clientes!A:A, Clientes!B:B)</f>
        <v>Hospital Santa Teresa</v>
      </c>
      <c r="L127" s="13" t="str">
        <f t="array" ref="L127">_xlfn.XLOOKUP(D127, Equipos!A:A, Equipos!B:B)</f>
        <v>Desfibrilador</v>
      </c>
      <c r="M127" s="9" t="str">
        <f t="array" ref="M127">_xlfn.XLOOKUP(F127, Tipo_Mtto!A:A, Tipo_Mtto!B:B)</f>
        <v>Instalación</v>
      </c>
    </row>
    <row r="128" ht="14.25" customHeight="1">
      <c r="A128" s="9" t="s">
        <v>225</v>
      </c>
      <c r="B128" s="10">
        <v>45730.0</v>
      </c>
      <c r="C128" s="9" t="s">
        <v>80</v>
      </c>
      <c r="D128" s="14" t="s">
        <v>87</v>
      </c>
      <c r="E128" s="9" t="s">
        <v>25</v>
      </c>
      <c r="F128" s="9" t="s">
        <v>35</v>
      </c>
      <c r="G128" s="11">
        <v>502.0</v>
      </c>
      <c r="H128" s="9">
        <v>6.0</v>
      </c>
      <c r="I128" s="12" t="str">
        <f t="array" ref="I128">_xlfn.XLOOKUP(C128, Clientes!A:A, Clientes!C:C) &amp; ", El Salvador"</f>
        <v>San Miguel, El Salvador</v>
      </c>
      <c r="J128" s="13" t="str">
        <f t="array" ref="J128">_xlfn.XLOOKUP(E128, Tecnicos!A:A, Tecnicos!B:B)</f>
        <v>Sofía Rodas</v>
      </c>
      <c r="K128" s="13" t="str">
        <f t="array" ref="K128">_xlfn.XLOOKUP(C128, Clientes!A:A, Clientes!B:B)</f>
        <v>Hospital San Juan de Dios</v>
      </c>
      <c r="L128" s="13" t="str">
        <f t="array" ref="L128">_xlfn.XLOOKUP(D128, Equipos!A:A, Equipos!B:B)</f>
        <v>Desfibrilador</v>
      </c>
      <c r="M128" s="9" t="str">
        <f t="array" ref="M128">_xlfn.XLOOKUP(F128, Tipo_Mtto!A:A, Tipo_Mtto!B:B)</f>
        <v>Instalación</v>
      </c>
    </row>
    <row r="129" ht="14.25" customHeight="1">
      <c r="A129" s="9" t="s">
        <v>226</v>
      </c>
      <c r="B129" s="10">
        <v>45732.0</v>
      </c>
      <c r="C129" s="9" t="s">
        <v>44</v>
      </c>
      <c r="D129" s="14" t="s">
        <v>71</v>
      </c>
      <c r="E129" s="9" t="s">
        <v>25</v>
      </c>
      <c r="F129" s="9" t="s">
        <v>14</v>
      </c>
      <c r="G129" s="11">
        <v>1554.0</v>
      </c>
      <c r="H129" s="9">
        <v>4.0</v>
      </c>
      <c r="I129" s="12" t="str">
        <f t="array" ref="I129">_xlfn.XLOOKUP(C129, Clientes!A:A, Clientes!C:C) &amp; ", El Salvador"</f>
        <v>Chalatenango, El Salvador</v>
      </c>
      <c r="J129" s="13" t="str">
        <f t="array" ref="J129">_xlfn.XLOOKUP(E129, Tecnicos!A:A, Tecnicos!B:B)</f>
        <v>Sofía Rodas</v>
      </c>
      <c r="K129" s="13" t="str">
        <f t="array" ref="K129">_xlfn.XLOOKUP(C129, Clientes!A:A, Clientes!B:B)</f>
        <v>Hospital Dr. Luis Edmundo Vásquez</v>
      </c>
      <c r="L129" s="13" t="str">
        <f t="array" ref="L129">_xlfn.XLOOKUP(D129, Equipos!A:A, Equipos!B:B)</f>
        <v>Ventilador</v>
      </c>
      <c r="M129" s="9" t="str">
        <f t="array" ref="M129">_xlfn.XLOOKUP(F129, Tipo_Mtto!A:A, Tipo_Mtto!B:B)</f>
        <v>Preventivo Programado</v>
      </c>
    </row>
    <row r="130" ht="14.25" customHeight="1">
      <c r="A130" s="9" t="s">
        <v>227</v>
      </c>
      <c r="B130" s="10">
        <v>45738.0</v>
      </c>
      <c r="C130" s="9" t="s">
        <v>34</v>
      </c>
      <c r="D130" s="14" t="s">
        <v>36</v>
      </c>
      <c r="E130" s="9" t="s">
        <v>25</v>
      </c>
      <c r="F130" s="9" t="s">
        <v>23</v>
      </c>
      <c r="G130" s="11">
        <v>241.0</v>
      </c>
      <c r="H130" s="9">
        <v>5.0</v>
      </c>
      <c r="I130" s="12" t="str">
        <f t="array" ref="I130">_xlfn.XLOOKUP(C130, Clientes!A:A, Clientes!C:C) &amp; ", El Salvador"</f>
        <v>Sonsonate, El Salvador</v>
      </c>
      <c r="J130" s="13" t="str">
        <f t="array" ref="J130">_xlfn.XLOOKUP(E130, Tecnicos!A:A, Tecnicos!B:B)</f>
        <v>Sofía Rodas</v>
      </c>
      <c r="K130" s="13" t="str">
        <f t="array" ref="K130">_xlfn.XLOOKUP(C130, Clientes!A:A, Clientes!B:B)</f>
        <v>Hospital Jorge Mazzini</v>
      </c>
      <c r="L130" s="13" t="str">
        <f t="array" ref="L130">_xlfn.XLOOKUP(D130, Equipos!A:A, Equipos!B:B)</f>
        <v>Ultrasonido</v>
      </c>
      <c r="M130" s="9" t="str">
        <f t="array" ref="M130">_xlfn.XLOOKUP(F130, Tipo_Mtto!A:A, Tipo_Mtto!B:B)</f>
        <v>Correctivo</v>
      </c>
    </row>
    <row r="131" ht="14.25" customHeight="1">
      <c r="A131" s="9" t="s">
        <v>228</v>
      </c>
      <c r="B131" s="10">
        <v>45744.0</v>
      </c>
      <c r="C131" s="9" t="s">
        <v>13</v>
      </c>
      <c r="D131" s="14" t="s">
        <v>63</v>
      </c>
      <c r="E131" s="9" t="s">
        <v>11</v>
      </c>
      <c r="F131" s="9" t="s">
        <v>14</v>
      </c>
      <c r="G131" s="11">
        <v>174.0</v>
      </c>
      <c r="H131" s="9">
        <v>11.0</v>
      </c>
      <c r="I131" s="12" t="str">
        <f t="array" ref="I131">_xlfn.XLOOKUP(C131, Clientes!A:A, Clientes!C:C) &amp; ", El Salvador"</f>
        <v>Ahuachapán, El Salvador</v>
      </c>
      <c r="J131" s="13" t="str">
        <f t="array" ref="J131">_xlfn.XLOOKUP(E131, Tecnicos!A:A, Tecnicos!B:B)</f>
        <v>Carlos Mendoza</v>
      </c>
      <c r="K131" s="13" t="str">
        <f t="array" ref="K131">_xlfn.XLOOKUP(C131, Clientes!A:A, Clientes!B:B)</f>
        <v>Hospital Nacional de Ahuachapán</v>
      </c>
      <c r="L131" s="13" t="str">
        <f t="array" ref="L131">_xlfn.XLOOKUP(D131, Equipos!A:A, Equipos!B:B)</f>
        <v>Monitor</v>
      </c>
      <c r="M131" s="9" t="str">
        <f t="array" ref="M131">_xlfn.XLOOKUP(F131, Tipo_Mtto!A:A, Tipo_Mtto!B:B)</f>
        <v>Preventivo Programado</v>
      </c>
    </row>
    <row r="132" ht="14.25" customHeight="1">
      <c r="A132" s="9" t="s">
        <v>229</v>
      </c>
      <c r="B132" s="10">
        <v>45746.0</v>
      </c>
      <c r="C132" s="9" t="s">
        <v>61</v>
      </c>
      <c r="D132" s="14" t="s">
        <v>63</v>
      </c>
      <c r="E132" s="9" t="s">
        <v>11</v>
      </c>
      <c r="F132" s="9" t="s">
        <v>14</v>
      </c>
      <c r="G132" s="11">
        <v>504.0</v>
      </c>
      <c r="H132" s="9">
        <v>5.0</v>
      </c>
      <c r="I132" s="12" t="str">
        <f t="array" ref="I132">_xlfn.XLOOKUP(C132, Clientes!A:A, Clientes!C:C) &amp; ", El Salvador"</f>
        <v>La Paz, El Salvador</v>
      </c>
      <c r="J132" s="13" t="str">
        <f t="array" ref="J132">_xlfn.XLOOKUP(E132, Tecnicos!A:A, Tecnicos!B:B)</f>
        <v>Carlos Mendoza</v>
      </c>
      <c r="K132" s="13" t="str">
        <f t="array" ref="K132">_xlfn.XLOOKUP(C132, Clientes!A:A, Clientes!B:B)</f>
        <v>Hospital Santa Teresa</v>
      </c>
      <c r="L132" s="13" t="str">
        <f t="array" ref="L132">_xlfn.XLOOKUP(D132, Equipos!A:A, Equipos!B:B)</f>
        <v>Monitor</v>
      </c>
      <c r="M132" s="9" t="str">
        <f t="array" ref="M132">_xlfn.XLOOKUP(F132, Tipo_Mtto!A:A, Tipo_Mtto!B:B)</f>
        <v>Preventivo Programado</v>
      </c>
    </row>
    <row r="133" ht="14.25" customHeight="1">
      <c r="A133" s="9" t="s">
        <v>230</v>
      </c>
      <c r="B133" s="10">
        <v>45751.0</v>
      </c>
      <c r="C133" s="9" t="s">
        <v>88</v>
      </c>
      <c r="D133" s="14" t="s">
        <v>63</v>
      </c>
      <c r="E133" s="9" t="s">
        <v>45</v>
      </c>
      <c r="F133" s="9" t="s">
        <v>14</v>
      </c>
      <c r="G133" s="11">
        <v>534.0</v>
      </c>
      <c r="H133" s="9">
        <v>1.0</v>
      </c>
      <c r="I133" s="12" t="str">
        <f t="array" ref="I133">_xlfn.XLOOKUP(C133, Clientes!A:A, Clientes!C:C) &amp; ", El Salvador"</f>
        <v>La Unión, El Salvador</v>
      </c>
      <c r="J133" s="13" t="str">
        <f t="array" ref="J133">_xlfn.XLOOKUP(E133, Tecnicos!A:A, Tecnicos!B:B)</f>
        <v>Elena Gómez</v>
      </c>
      <c r="K133" s="13" t="str">
        <f t="array" ref="K133">_xlfn.XLOOKUP(C133, Clientes!A:A, Clientes!B:B)</f>
        <v>Hospital de La Unión</v>
      </c>
      <c r="L133" s="13" t="str">
        <f t="array" ref="L133">_xlfn.XLOOKUP(D133, Equipos!A:A, Equipos!B:B)</f>
        <v>Monitor</v>
      </c>
      <c r="M133" s="9" t="str">
        <f t="array" ref="M133">_xlfn.XLOOKUP(F133, Tipo_Mtto!A:A, Tipo_Mtto!B:B)</f>
        <v>Preventivo Programado</v>
      </c>
    </row>
    <row r="134" ht="14.25" customHeight="1">
      <c r="A134" s="9" t="s">
        <v>231</v>
      </c>
      <c r="B134" s="10">
        <v>45752.0</v>
      </c>
      <c r="C134" s="9" t="s">
        <v>24</v>
      </c>
      <c r="D134" s="14" t="s">
        <v>17</v>
      </c>
      <c r="E134" s="9" t="s">
        <v>11</v>
      </c>
      <c r="F134" s="9" t="s">
        <v>23</v>
      </c>
      <c r="G134" s="11">
        <v>1159.0</v>
      </c>
      <c r="H134" s="9">
        <v>5.0</v>
      </c>
      <c r="I134" s="12" t="str">
        <f t="array" ref="I134">_xlfn.XLOOKUP(C134, Clientes!A:A, Clientes!C:C) &amp; ", El Salvador"</f>
        <v>Santa Ana, El Salvador</v>
      </c>
      <c r="J134" s="13" t="str">
        <f t="array" ref="J134">_xlfn.XLOOKUP(E134, Tecnicos!A:A, Tecnicos!B:B)</f>
        <v>Carlos Mendoza</v>
      </c>
      <c r="K134" s="13" t="str">
        <f t="array" ref="K134">_xlfn.XLOOKUP(C134, Clientes!A:A, Clientes!B:B)</f>
        <v>Hospital San Juan de Dios</v>
      </c>
      <c r="L134" s="13" t="str">
        <f t="array" ref="L134">_xlfn.XLOOKUP(D134, Equipos!A:A, Equipos!B:B)</f>
        <v>Rayos X</v>
      </c>
      <c r="M134" s="9" t="str">
        <f t="array" ref="M134">_xlfn.XLOOKUP(F134, Tipo_Mtto!A:A, Tipo_Mtto!B:B)</f>
        <v>Correctivo</v>
      </c>
    </row>
    <row r="135" ht="14.25" customHeight="1">
      <c r="A135" s="9" t="s">
        <v>232</v>
      </c>
      <c r="B135" s="10">
        <v>45753.0</v>
      </c>
      <c r="C135" s="9" t="s">
        <v>88</v>
      </c>
      <c r="D135" s="14" t="s">
        <v>36</v>
      </c>
      <c r="E135" s="9" t="s">
        <v>33</v>
      </c>
      <c r="F135" s="9" t="s">
        <v>23</v>
      </c>
      <c r="G135" s="11">
        <v>1621.0</v>
      </c>
      <c r="H135" s="9">
        <v>11.0</v>
      </c>
      <c r="I135" s="12" t="str">
        <f t="array" ref="I135">_xlfn.XLOOKUP(C135, Clientes!A:A, Clientes!C:C) &amp; ", El Salvador"</f>
        <v>La Unión, El Salvador</v>
      </c>
      <c r="J135" s="13" t="str">
        <f t="array" ref="J135">_xlfn.XLOOKUP(E135, Tecnicos!A:A, Tecnicos!B:B)</f>
        <v>Juan Pérez</v>
      </c>
      <c r="K135" s="13" t="str">
        <f t="array" ref="K135">_xlfn.XLOOKUP(C135, Clientes!A:A, Clientes!B:B)</f>
        <v>Hospital de La Unión</v>
      </c>
      <c r="L135" s="13" t="str">
        <f t="array" ref="L135">_xlfn.XLOOKUP(D135, Equipos!A:A, Equipos!B:B)</f>
        <v>Ultrasonido</v>
      </c>
      <c r="M135" s="9" t="str">
        <f t="array" ref="M135">_xlfn.XLOOKUP(F135, Tipo_Mtto!A:A, Tipo_Mtto!B:B)</f>
        <v>Correctivo</v>
      </c>
    </row>
    <row r="136" ht="14.25" customHeight="1">
      <c r="A136" s="9" t="s">
        <v>233</v>
      </c>
      <c r="B136" s="10">
        <v>45759.0</v>
      </c>
      <c r="C136" s="9" t="s">
        <v>70</v>
      </c>
      <c r="D136" s="14" t="s">
        <v>87</v>
      </c>
      <c r="E136" s="9" t="s">
        <v>51</v>
      </c>
      <c r="F136" s="9" t="s">
        <v>35</v>
      </c>
      <c r="G136" s="11">
        <v>2342.0</v>
      </c>
      <c r="H136" s="9">
        <v>10.0</v>
      </c>
      <c r="I136" s="12" t="str">
        <f t="array" ref="I136">_xlfn.XLOOKUP(C136, Clientes!A:A, Clientes!C:C) &amp; ", El Salvador"</f>
        <v>San Vicente, El Salvador</v>
      </c>
      <c r="J136" s="13" t="str">
        <f t="array" ref="J136">_xlfn.XLOOKUP(E136, Tecnicos!A:A, Tecnicos!B:B)</f>
        <v>Luis Martínez</v>
      </c>
      <c r="K136" s="13" t="str">
        <f t="array" ref="K136">_xlfn.XLOOKUP(C136, Clientes!A:A, Clientes!B:B)</f>
        <v>Hospital Santa Gertrudis</v>
      </c>
      <c r="L136" s="13" t="str">
        <f t="array" ref="L136">_xlfn.XLOOKUP(D136, Equipos!A:A, Equipos!B:B)</f>
        <v>Desfibrilador</v>
      </c>
      <c r="M136" s="9" t="str">
        <f t="array" ref="M136">_xlfn.XLOOKUP(F136, Tipo_Mtto!A:A, Tipo_Mtto!B:B)</f>
        <v>Instalación</v>
      </c>
    </row>
    <row r="137" ht="14.25" customHeight="1">
      <c r="A137" s="9" t="s">
        <v>234</v>
      </c>
      <c r="B137" s="10">
        <v>45764.0</v>
      </c>
      <c r="C137" s="9" t="s">
        <v>61</v>
      </c>
      <c r="D137" s="14" t="s">
        <v>63</v>
      </c>
      <c r="E137" s="9" t="s">
        <v>45</v>
      </c>
      <c r="F137" s="9" t="s">
        <v>35</v>
      </c>
      <c r="G137" s="11">
        <v>1989.0</v>
      </c>
      <c r="H137" s="9">
        <v>11.0</v>
      </c>
      <c r="I137" s="12" t="str">
        <f t="array" ref="I137">_xlfn.XLOOKUP(C137, Clientes!A:A, Clientes!C:C) &amp; ", El Salvador"</f>
        <v>La Paz, El Salvador</v>
      </c>
      <c r="J137" s="13" t="str">
        <f t="array" ref="J137">_xlfn.XLOOKUP(E137, Tecnicos!A:A, Tecnicos!B:B)</f>
        <v>Elena Gómez</v>
      </c>
      <c r="K137" s="13" t="str">
        <f t="array" ref="K137">_xlfn.XLOOKUP(C137, Clientes!A:A, Clientes!B:B)</f>
        <v>Hospital Santa Teresa</v>
      </c>
      <c r="L137" s="13" t="str">
        <f t="array" ref="L137">_xlfn.XLOOKUP(D137, Equipos!A:A, Equipos!B:B)</f>
        <v>Monitor</v>
      </c>
      <c r="M137" s="9" t="str">
        <f t="array" ref="M137">_xlfn.XLOOKUP(F137, Tipo_Mtto!A:A, Tipo_Mtto!B:B)</f>
        <v>Instalación</v>
      </c>
    </row>
    <row r="138" ht="14.25" customHeight="1">
      <c r="A138" s="9" t="s">
        <v>235</v>
      </c>
      <c r="B138" s="10">
        <v>45767.0</v>
      </c>
      <c r="C138" s="9" t="s">
        <v>65</v>
      </c>
      <c r="D138" s="14" t="s">
        <v>71</v>
      </c>
      <c r="E138" s="9" t="s">
        <v>33</v>
      </c>
      <c r="F138" s="9" t="s">
        <v>35</v>
      </c>
      <c r="G138" s="11">
        <v>886.0</v>
      </c>
      <c r="H138" s="9">
        <v>1.0</v>
      </c>
      <c r="I138" s="12" t="str">
        <f t="array" ref="I138">_xlfn.XLOOKUP(C138, Clientes!A:A, Clientes!C:C) &amp; ", El Salvador"</f>
        <v>Cabañas, El Salvador</v>
      </c>
      <c r="J138" s="13" t="str">
        <f t="array" ref="J138">_xlfn.XLOOKUP(E138, Tecnicos!A:A, Tecnicos!B:B)</f>
        <v>Juan Pérez</v>
      </c>
      <c r="K138" s="13" t="str">
        <f t="array" ref="K138">_xlfn.XLOOKUP(C138, Clientes!A:A, Clientes!B:B)</f>
        <v>Hospital de Sensuntepeque</v>
      </c>
      <c r="L138" s="13" t="str">
        <f t="array" ref="L138">_xlfn.XLOOKUP(D138, Equipos!A:A, Equipos!B:B)</f>
        <v>Ventilador</v>
      </c>
      <c r="M138" s="9" t="str">
        <f t="array" ref="M138">_xlfn.XLOOKUP(F138, Tipo_Mtto!A:A, Tipo_Mtto!B:B)</f>
        <v>Instalación</v>
      </c>
    </row>
    <row r="139" ht="14.25" customHeight="1">
      <c r="A139" s="9" t="s">
        <v>236</v>
      </c>
      <c r="B139" s="10">
        <v>45768.0</v>
      </c>
      <c r="C139" s="9" t="s">
        <v>13</v>
      </c>
      <c r="D139" s="14" t="s">
        <v>17</v>
      </c>
      <c r="E139" s="9" t="s">
        <v>51</v>
      </c>
      <c r="F139" s="9" t="s">
        <v>14</v>
      </c>
      <c r="G139" s="11">
        <v>1467.0</v>
      </c>
      <c r="H139" s="9">
        <v>3.0</v>
      </c>
      <c r="I139" s="12" t="str">
        <f t="array" ref="I139">_xlfn.XLOOKUP(C139, Clientes!A:A, Clientes!C:C) &amp; ", El Salvador"</f>
        <v>Ahuachapán, El Salvador</v>
      </c>
      <c r="J139" s="13" t="str">
        <f t="array" ref="J139">_xlfn.XLOOKUP(E139, Tecnicos!A:A, Tecnicos!B:B)</f>
        <v>Luis Martínez</v>
      </c>
      <c r="K139" s="13" t="str">
        <f t="array" ref="K139">_xlfn.XLOOKUP(C139, Clientes!A:A, Clientes!B:B)</f>
        <v>Hospital Nacional de Ahuachapán</v>
      </c>
      <c r="L139" s="13" t="str">
        <f t="array" ref="L139">_xlfn.XLOOKUP(D139, Equipos!A:A, Equipos!B:B)</f>
        <v>Rayos X</v>
      </c>
      <c r="M139" s="9" t="str">
        <f t="array" ref="M139">_xlfn.XLOOKUP(F139, Tipo_Mtto!A:A, Tipo_Mtto!B:B)</f>
        <v>Preventivo Programado</v>
      </c>
    </row>
    <row r="140" ht="14.25" customHeight="1">
      <c r="A140" s="9" t="s">
        <v>237</v>
      </c>
      <c r="B140" s="10">
        <v>45774.0</v>
      </c>
      <c r="C140" s="9" t="s">
        <v>24</v>
      </c>
      <c r="D140" s="14" t="s">
        <v>71</v>
      </c>
      <c r="E140" s="9" t="s">
        <v>11</v>
      </c>
      <c r="F140" s="9" t="s">
        <v>14</v>
      </c>
      <c r="G140" s="11">
        <v>223.0</v>
      </c>
      <c r="H140" s="9">
        <v>7.0</v>
      </c>
      <c r="I140" s="12" t="str">
        <f t="array" ref="I140">_xlfn.XLOOKUP(C140, Clientes!A:A, Clientes!C:C) &amp; ", El Salvador"</f>
        <v>Santa Ana, El Salvador</v>
      </c>
      <c r="J140" s="13" t="str">
        <f t="array" ref="J140">_xlfn.XLOOKUP(E140, Tecnicos!A:A, Tecnicos!B:B)</f>
        <v>Carlos Mendoza</v>
      </c>
      <c r="K140" s="13" t="str">
        <f t="array" ref="K140">_xlfn.XLOOKUP(C140, Clientes!A:A, Clientes!B:B)</f>
        <v>Hospital San Juan de Dios</v>
      </c>
      <c r="L140" s="13" t="str">
        <f t="array" ref="L140">_xlfn.XLOOKUP(D140, Equipos!A:A, Equipos!B:B)</f>
        <v>Ventilador</v>
      </c>
      <c r="M140" s="9" t="str">
        <f t="array" ref="M140">_xlfn.XLOOKUP(F140, Tipo_Mtto!A:A, Tipo_Mtto!B:B)</f>
        <v>Preventivo Programado</v>
      </c>
    </row>
    <row r="141" ht="14.25" customHeight="1">
      <c r="A141" s="9" t="s">
        <v>238</v>
      </c>
      <c r="B141" s="10">
        <v>45779.0</v>
      </c>
      <c r="C141" s="9" t="s">
        <v>70</v>
      </c>
      <c r="D141" s="14" t="s">
        <v>63</v>
      </c>
      <c r="E141" s="9" t="s">
        <v>25</v>
      </c>
      <c r="F141" s="9" t="s">
        <v>14</v>
      </c>
      <c r="G141" s="11">
        <v>2435.0</v>
      </c>
      <c r="H141" s="9">
        <v>12.0</v>
      </c>
      <c r="I141" s="12" t="str">
        <f t="array" ref="I141">_xlfn.XLOOKUP(C141, Clientes!A:A, Clientes!C:C) &amp; ", El Salvador"</f>
        <v>San Vicente, El Salvador</v>
      </c>
      <c r="J141" s="13" t="str">
        <f t="array" ref="J141">_xlfn.XLOOKUP(E141, Tecnicos!A:A, Tecnicos!B:B)</f>
        <v>Sofía Rodas</v>
      </c>
      <c r="K141" s="13" t="str">
        <f t="array" ref="K141">_xlfn.XLOOKUP(C141, Clientes!A:A, Clientes!B:B)</f>
        <v>Hospital Santa Gertrudis</v>
      </c>
      <c r="L141" s="13" t="str">
        <f t="array" ref="L141">_xlfn.XLOOKUP(D141, Equipos!A:A, Equipos!B:B)</f>
        <v>Monitor</v>
      </c>
      <c r="M141" s="9" t="str">
        <f t="array" ref="M141">_xlfn.XLOOKUP(F141, Tipo_Mtto!A:A, Tipo_Mtto!B:B)</f>
        <v>Preventivo Programado</v>
      </c>
    </row>
    <row r="142" ht="14.25" customHeight="1">
      <c r="A142" s="9" t="s">
        <v>239</v>
      </c>
      <c r="B142" s="10">
        <v>45784.0</v>
      </c>
      <c r="C142" s="9" t="s">
        <v>61</v>
      </c>
      <c r="D142" s="14" t="s">
        <v>71</v>
      </c>
      <c r="E142" s="9" t="s">
        <v>45</v>
      </c>
      <c r="F142" s="9" t="s">
        <v>14</v>
      </c>
      <c r="G142" s="11">
        <v>962.0</v>
      </c>
      <c r="H142" s="9">
        <v>8.0</v>
      </c>
      <c r="I142" s="12" t="str">
        <f t="array" ref="I142">_xlfn.XLOOKUP(C142, Clientes!A:A, Clientes!C:C) &amp; ", El Salvador"</f>
        <v>La Paz, El Salvador</v>
      </c>
      <c r="J142" s="13" t="str">
        <f t="array" ref="J142">_xlfn.XLOOKUP(E142, Tecnicos!A:A, Tecnicos!B:B)</f>
        <v>Elena Gómez</v>
      </c>
      <c r="K142" s="13" t="str">
        <f t="array" ref="K142">_xlfn.XLOOKUP(C142, Clientes!A:A, Clientes!B:B)</f>
        <v>Hospital Santa Teresa</v>
      </c>
      <c r="L142" s="13" t="str">
        <f t="array" ref="L142">_xlfn.XLOOKUP(D142, Equipos!A:A, Equipos!B:B)</f>
        <v>Ventilador</v>
      </c>
      <c r="M142" s="9" t="str">
        <f t="array" ref="M142">_xlfn.XLOOKUP(F142, Tipo_Mtto!A:A, Tipo_Mtto!B:B)</f>
        <v>Preventivo Programado</v>
      </c>
    </row>
    <row r="143" ht="14.25" customHeight="1">
      <c r="A143" s="9" t="s">
        <v>240</v>
      </c>
      <c r="B143" s="10">
        <v>45785.0</v>
      </c>
      <c r="C143" s="9" t="s">
        <v>13</v>
      </c>
      <c r="D143" s="14" t="s">
        <v>63</v>
      </c>
      <c r="E143" s="9" t="s">
        <v>25</v>
      </c>
      <c r="F143" s="9" t="s">
        <v>14</v>
      </c>
      <c r="G143" s="11">
        <v>1167.0</v>
      </c>
      <c r="H143" s="9">
        <v>1.0</v>
      </c>
      <c r="I143" s="12" t="str">
        <f t="array" ref="I143">_xlfn.XLOOKUP(C143, Clientes!A:A, Clientes!C:C) &amp; ", El Salvador"</f>
        <v>Ahuachapán, El Salvador</v>
      </c>
      <c r="J143" s="13" t="str">
        <f t="array" ref="J143">_xlfn.XLOOKUP(E143, Tecnicos!A:A, Tecnicos!B:B)</f>
        <v>Sofía Rodas</v>
      </c>
      <c r="K143" s="13" t="str">
        <f t="array" ref="K143">_xlfn.XLOOKUP(C143, Clientes!A:A, Clientes!B:B)</f>
        <v>Hospital Nacional de Ahuachapán</v>
      </c>
      <c r="L143" s="13" t="str">
        <f t="array" ref="L143">_xlfn.XLOOKUP(D143, Equipos!A:A, Equipos!B:B)</f>
        <v>Monitor</v>
      </c>
      <c r="M143" s="9" t="str">
        <f t="array" ref="M143">_xlfn.XLOOKUP(F143, Tipo_Mtto!A:A, Tipo_Mtto!B:B)</f>
        <v>Preventivo Programado</v>
      </c>
    </row>
    <row r="144" ht="14.25" customHeight="1">
      <c r="A144" s="9" t="s">
        <v>241</v>
      </c>
      <c r="B144" s="10">
        <v>45790.0</v>
      </c>
      <c r="C144" s="9" t="s">
        <v>13</v>
      </c>
      <c r="D144" s="14" t="s">
        <v>87</v>
      </c>
      <c r="E144" s="9" t="s">
        <v>11</v>
      </c>
      <c r="F144" s="9" t="s">
        <v>14</v>
      </c>
      <c r="G144" s="11">
        <v>612.0</v>
      </c>
      <c r="H144" s="9">
        <v>8.0</v>
      </c>
      <c r="I144" s="12" t="str">
        <f t="array" ref="I144">_xlfn.XLOOKUP(C144, Clientes!A:A, Clientes!C:C) &amp; ", El Salvador"</f>
        <v>Ahuachapán, El Salvador</v>
      </c>
      <c r="J144" s="13" t="str">
        <f t="array" ref="J144">_xlfn.XLOOKUP(E144, Tecnicos!A:A, Tecnicos!B:B)</f>
        <v>Carlos Mendoza</v>
      </c>
      <c r="K144" s="13" t="str">
        <f t="array" ref="K144">_xlfn.XLOOKUP(C144, Clientes!A:A, Clientes!B:B)</f>
        <v>Hospital Nacional de Ahuachapán</v>
      </c>
      <c r="L144" s="13" t="str">
        <f t="array" ref="L144">_xlfn.XLOOKUP(D144, Equipos!A:A, Equipos!B:B)</f>
        <v>Desfibrilador</v>
      </c>
      <c r="M144" s="9" t="str">
        <f t="array" ref="M144">_xlfn.XLOOKUP(F144, Tipo_Mtto!A:A, Tipo_Mtto!B:B)</f>
        <v>Preventivo Programado</v>
      </c>
    </row>
    <row r="145" ht="14.25" customHeight="1">
      <c r="A145" s="9" t="s">
        <v>242</v>
      </c>
      <c r="B145" s="10">
        <v>45791.0</v>
      </c>
      <c r="C145" s="9" t="s">
        <v>13</v>
      </c>
      <c r="D145" s="14" t="s">
        <v>17</v>
      </c>
      <c r="E145" s="9" t="s">
        <v>51</v>
      </c>
      <c r="F145" s="9" t="s">
        <v>14</v>
      </c>
      <c r="G145" s="11">
        <v>958.0</v>
      </c>
      <c r="H145" s="9">
        <v>4.0</v>
      </c>
      <c r="I145" s="12" t="str">
        <f t="array" ref="I145">_xlfn.XLOOKUP(C145, Clientes!A:A, Clientes!C:C) &amp; ", El Salvador"</f>
        <v>Ahuachapán, El Salvador</v>
      </c>
      <c r="J145" s="13" t="str">
        <f t="array" ref="J145">_xlfn.XLOOKUP(E145, Tecnicos!A:A, Tecnicos!B:B)</f>
        <v>Luis Martínez</v>
      </c>
      <c r="K145" s="13" t="str">
        <f t="array" ref="K145">_xlfn.XLOOKUP(C145, Clientes!A:A, Clientes!B:B)</f>
        <v>Hospital Nacional de Ahuachapán</v>
      </c>
      <c r="L145" s="13" t="str">
        <f t="array" ref="L145">_xlfn.XLOOKUP(D145, Equipos!A:A, Equipos!B:B)</f>
        <v>Rayos X</v>
      </c>
      <c r="M145" s="9" t="str">
        <f t="array" ref="M145">_xlfn.XLOOKUP(F145, Tipo_Mtto!A:A, Tipo_Mtto!B:B)</f>
        <v>Preventivo Programado</v>
      </c>
    </row>
    <row r="146" ht="14.25" customHeight="1">
      <c r="A146" s="9" t="s">
        <v>243</v>
      </c>
      <c r="B146" s="10">
        <v>45792.0</v>
      </c>
      <c r="C146" s="9" t="s">
        <v>34</v>
      </c>
      <c r="D146" s="14" t="s">
        <v>36</v>
      </c>
      <c r="E146" s="9" t="s">
        <v>11</v>
      </c>
      <c r="F146" s="9" t="s">
        <v>35</v>
      </c>
      <c r="G146" s="11">
        <v>1524.0</v>
      </c>
      <c r="H146" s="9">
        <v>7.0</v>
      </c>
      <c r="I146" s="12" t="str">
        <f t="array" ref="I146">_xlfn.XLOOKUP(C146, Clientes!A:A, Clientes!C:C) &amp; ", El Salvador"</f>
        <v>Sonsonate, El Salvador</v>
      </c>
      <c r="J146" s="13" t="str">
        <f t="array" ref="J146">_xlfn.XLOOKUP(E146, Tecnicos!A:A, Tecnicos!B:B)</f>
        <v>Carlos Mendoza</v>
      </c>
      <c r="K146" s="13" t="str">
        <f t="array" ref="K146">_xlfn.XLOOKUP(C146, Clientes!A:A, Clientes!B:B)</f>
        <v>Hospital Jorge Mazzini</v>
      </c>
      <c r="L146" s="13" t="str">
        <f t="array" ref="L146">_xlfn.XLOOKUP(D146, Equipos!A:A, Equipos!B:B)</f>
        <v>Ultrasonido</v>
      </c>
      <c r="M146" s="9" t="str">
        <f t="array" ref="M146">_xlfn.XLOOKUP(F146, Tipo_Mtto!A:A, Tipo_Mtto!B:B)</f>
        <v>Instalación</v>
      </c>
    </row>
    <row r="147" ht="14.25" customHeight="1">
      <c r="A147" s="9" t="s">
        <v>244</v>
      </c>
      <c r="B147" s="10">
        <v>45795.0</v>
      </c>
      <c r="C147" s="9" t="s">
        <v>58</v>
      </c>
      <c r="D147" s="14" t="s">
        <v>17</v>
      </c>
      <c r="E147" s="9" t="s">
        <v>11</v>
      </c>
      <c r="F147" s="9" t="s">
        <v>23</v>
      </c>
      <c r="G147" s="11">
        <v>2279.0</v>
      </c>
      <c r="H147" s="9">
        <v>9.0</v>
      </c>
      <c r="I147" s="12" t="str">
        <f t="array" ref="I147">_xlfn.XLOOKUP(C147, Clientes!A:A, Clientes!C:C) &amp; ", El Salvador"</f>
        <v>Cuscatlán, El Salvador</v>
      </c>
      <c r="J147" s="13" t="str">
        <f t="array" ref="J147">_xlfn.XLOOKUP(E147, Tecnicos!A:A, Tecnicos!B:B)</f>
        <v>Carlos Mendoza</v>
      </c>
      <c r="K147" s="13" t="str">
        <f t="array" ref="K147">_xlfn.XLOOKUP(C147, Clientes!A:A, Clientes!B:B)</f>
        <v>Hospital de Cojutepeque</v>
      </c>
      <c r="L147" s="13" t="str">
        <f t="array" ref="L147">_xlfn.XLOOKUP(D147, Equipos!A:A, Equipos!B:B)</f>
        <v>Rayos X</v>
      </c>
      <c r="M147" s="9" t="str">
        <f t="array" ref="M147">_xlfn.XLOOKUP(F147, Tipo_Mtto!A:A, Tipo_Mtto!B:B)</f>
        <v>Correctivo</v>
      </c>
    </row>
    <row r="148" ht="14.25" customHeight="1">
      <c r="A148" s="9" t="s">
        <v>245</v>
      </c>
      <c r="B148" s="10">
        <v>45800.0</v>
      </c>
      <c r="C148" s="9" t="s">
        <v>50</v>
      </c>
      <c r="D148" s="14" t="s">
        <v>87</v>
      </c>
      <c r="E148" s="9" t="s">
        <v>33</v>
      </c>
      <c r="F148" s="9" t="s">
        <v>35</v>
      </c>
      <c r="G148" s="11">
        <v>2169.0</v>
      </c>
      <c r="H148" s="9">
        <v>7.0</v>
      </c>
      <c r="I148" s="12" t="str">
        <f t="array" ref="I148">_xlfn.XLOOKUP(C148, Clientes!A:A, Clientes!C:C) &amp; ", El Salvador"</f>
        <v>La Libertad, El Salvador</v>
      </c>
      <c r="J148" s="13" t="str">
        <f t="array" ref="J148">_xlfn.XLOOKUP(E148, Tecnicos!A:A, Tecnicos!B:B)</f>
        <v>Juan Pérez</v>
      </c>
      <c r="K148" s="13" t="str">
        <f t="array" ref="K148">_xlfn.XLOOKUP(C148, Clientes!A:A, Clientes!B:B)</f>
        <v>Hospital San Rafael</v>
      </c>
      <c r="L148" s="13" t="str">
        <f t="array" ref="L148">_xlfn.XLOOKUP(D148, Equipos!A:A, Equipos!B:B)</f>
        <v>Desfibrilador</v>
      </c>
      <c r="M148" s="9" t="str">
        <f t="array" ref="M148">_xlfn.XLOOKUP(F148, Tipo_Mtto!A:A, Tipo_Mtto!B:B)</f>
        <v>Instalación</v>
      </c>
    </row>
    <row r="149" ht="14.25" customHeight="1">
      <c r="A149" s="9" t="s">
        <v>246</v>
      </c>
      <c r="B149" s="10">
        <v>45805.0</v>
      </c>
      <c r="C149" s="9" t="s">
        <v>58</v>
      </c>
      <c r="D149" s="14" t="s">
        <v>71</v>
      </c>
      <c r="E149" s="9" t="s">
        <v>51</v>
      </c>
      <c r="F149" s="9" t="s">
        <v>14</v>
      </c>
      <c r="G149" s="11">
        <v>2223.0</v>
      </c>
      <c r="H149" s="9">
        <v>5.0</v>
      </c>
      <c r="I149" s="12" t="str">
        <f t="array" ref="I149">_xlfn.XLOOKUP(C149, Clientes!A:A, Clientes!C:C) &amp; ", El Salvador"</f>
        <v>Cuscatlán, El Salvador</v>
      </c>
      <c r="J149" s="13" t="str">
        <f t="array" ref="J149">_xlfn.XLOOKUP(E149, Tecnicos!A:A, Tecnicos!B:B)</f>
        <v>Luis Martínez</v>
      </c>
      <c r="K149" s="13" t="str">
        <f t="array" ref="K149">_xlfn.XLOOKUP(C149, Clientes!A:A, Clientes!B:B)</f>
        <v>Hospital de Cojutepeque</v>
      </c>
      <c r="L149" s="13" t="str">
        <f t="array" ref="L149">_xlfn.XLOOKUP(D149, Equipos!A:A, Equipos!B:B)</f>
        <v>Ventilador</v>
      </c>
      <c r="M149" s="9" t="str">
        <f t="array" ref="M149">_xlfn.XLOOKUP(F149, Tipo_Mtto!A:A, Tipo_Mtto!B:B)</f>
        <v>Preventivo Programado</v>
      </c>
    </row>
    <row r="150" ht="14.25" customHeight="1">
      <c r="A150" s="9" t="s">
        <v>247</v>
      </c>
      <c r="B150" s="10">
        <v>45806.0</v>
      </c>
      <c r="C150" s="9" t="s">
        <v>13</v>
      </c>
      <c r="D150" s="14" t="s">
        <v>71</v>
      </c>
      <c r="E150" s="9" t="s">
        <v>51</v>
      </c>
      <c r="F150" s="9" t="s">
        <v>14</v>
      </c>
      <c r="G150" s="11">
        <v>2133.0</v>
      </c>
      <c r="H150" s="9">
        <v>10.0</v>
      </c>
      <c r="I150" s="12" t="str">
        <f t="array" ref="I150">_xlfn.XLOOKUP(C150, Clientes!A:A, Clientes!C:C) &amp; ", El Salvador"</f>
        <v>Ahuachapán, El Salvador</v>
      </c>
      <c r="J150" s="13" t="str">
        <f t="array" ref="J150">_xlfn.XLOOKUP(E150, Tecnicos!A:A, Tecnicos!B:B)</f>
        <v>Luis Martínez</v>
      </c>
      <c r="K150" s="13" t="str">
        <f t="array" ref="K150">_xlfn.XLOOKUP(C150, Clientes!A:A, Clientes!B:B)</f>
        <v>Hospital Nacional de Ahuachapán</v>
      </c>
      <c r="L150" s="13" t="str">
        <f t="array" ref="L150">_xlfn.XLOOKUP(D150, Equipos!A:A, Equipos!B:B)</f>
        <v>Ventilador</v>
      </c>
      <c r="M150" s="9" t="str">
        <f t="array" ref="M150">_xlfn.XLOOKUP(F150, Tipo_Mtto!A:A, Tipo_Mtto!B:B)</f>
        <v>Preventivo Programado</v>
      </c>
    </row>
    <row r="151" ht="14.25" customHeight="1">
      <c r="A151" s="9" t="s">
        <v>248</v>
      </c>
      <c r="B151" s="10">
        <v>45809.0</v>
      </c>
      <c r="C151" s="9" t="s">
        <v>88</v>
      </c>
      <c r="D151" s="14" t="s">
        <v>79</v>
      </c>
      <c r="E151" s="9" t="s">
        <v>51</v>
      </c>
      <c r="F151" s="9" t="s">
        <v>35</v>
      </c>
      <c r="G151" s="11">
        <v>2126.0</v>
      </c>
      <c r="H151" s="9">
        <v>3.0</v>
      </c>
      <c r="I151" s="12" t="str">
        <f t="array" ref="I151">_xlfn.XLOOKUP(C151, Clientes!A:A, Clientes!C:C) &amp; ", El Salvador"</f>
        <v>La Unión, El Salvador</v>
      </c>
      <c r="J151" s="13" t="str">
        <f t="array" ref="J151">_xlfn.XLOOKUP(E151, Tecnicos!A:A, Tecnicos!B:B)</f>
        <v>Luis Martínez</v>
      </c>
      <c r="K151" s="13" t="str">
        <f t="array" ref="K151">_xlfn.XLOOKUP(C151, Clientes!A:A, Clientes!B:B)</f>
        <v>Hospital de La Unión</v>
      </c>
      <c r="L151" s="13" t="str">
        <f t="array" ref="L151">_xlfn.XLOOKUP(D151, Equipos!A:A, Equipos!B:B)</f>
        <v>Incubadora</v>
      </c>
      <c r="M151" s="9" t="str">
        <f t="array" ref="M151">_xlfn.XLOOKUP(F151, Tipo_Mtto!A:A, Tipo_Mtto!B:B)</f>
        <v>Instalación</v>
      </c>
    </row>
    <row r="152" ht="14.25" customHeight="1">
      <c r="A152" s="9" t="s">
        <v>249</v>
      </c>
      <c r="B152" s="10">
        <v>45810.0</v>
      </c>
      <c r="C152" s="9" t="s">
        <v>88</v>
      </c>
      <c r="D152" s="14" t="s">
        <v>36</v>
      </c>
      <c r="E152" s="9" t="s">
        <v>25</v>
      </c>
      <c r="F152" s="9" t="s">
        <v>14</v>
      </c>
      <c r="G152" s="11">
        <v>846.0</v>
      </c>
      <c r="H152" s="9">
        <v>7.0</v>
      </c>
      <c r="I152" s="12" t="str">
        <f t="array" ref="I152">_xlfn.XLOOKUP(C152, Clientes!A:A, Clientes!C:C) &amp; ", El Salvador"</f>
        <v>La Unión, El Salvador</v>
      </c>
      <c r="J152" s="13" t="str">
        <f t="array" ref="J152">_xlfn.XLOOKUP(E152, Tecnicos!A:A, Tecnicos!B:B)</f>
        <v>Sofía Rodas</v>
      </c>
      <c r="K152" s="13" t="str">
        <f t="array" ref="K152">_xlfn.XLOOKUP(C152, Clientes!A:A, Clientes!B:B)</f>
        <v>Hospital de La Unión</v>
      </c>
      <c r="L152" s="13" t="str">
        <f t="array" ref="L152">_xlfn.XLOOKUP(D152, Equipos!A:A, Equipos!B:B)</f>
        <v>Ultrasonido</v>
      </c>
      <c r="M152" s="9" t="str">
        <f t="array" ref="M152">_xlfn.XLOOKUP(F152, Tipo_Mtto!A:A, Tipo_Mtto!B:B)</f>
        <v>Preventivo Programado</v>
      </c>
    </row>
    <row r="153" ht="14.25" customHeight="1">
      <c r="A153" s="9" t="s">
        <v>250</v>
      </c>
      <c r="B153" s="10">
        <v>45811.0</v>
      </c>
      <c r="C153" s="9" t="s">
        <v>24</v>
      </c>
      <c r="D153" s="14" t="s">
        <v>17</v>
      </c>
      <c r="E153" s="9" t="s">
        <v>45</v>
      </c>
      <c r="F153" s="9" t="s">
        <v>23</v>
      </c>
      <c r="G153" s="11">
        <v>1256.0</v>
      </c>
      <c r="H153" s="9">
        <v>10.0</v>
      </c>
      <c r="I153" s="12" t="str">
        <f t="array" ref="I153">_xlfn.XLOOKUP(C153, Clientes!A:A, Clientes!C:C) &amp; ", El Salvador"</f>
        <v>Santa Ana, El Salvador</v>
      </c>
      <c r="J153" s="13" t="str">
        <f t="array" ref="J153">_xlfn.XLOOKUP(E153, Tecnicos!A:A, Tecnicos!B:B)</f>
        <v>Elena Gómez</v>
      </c>
      <c r="K153" s="13" t="str">
        <f t="array" ref="K153">_xlfn.XLOOKUP(C153, Clientes!A:A, Clientes!B:B)</f>
        <v>Hospital San Juan de Dios</v>
      </c>
      <c r="L153" s="13" t="str">
        <f t="array" ref="L153">_xlfn.XLOOKUP(D153, Equipos!A:A, Equipos!B:B)</f>
        <v>Rayos X</v>
      </c>
      <c r="M153" s="9" t="str">
        <f t="array" ref="M153">_xlfn.XLOOKUP(F153, Tipo_Mtto!A:A, Tipo_Mtto!B:B)</f>
        <v>Correctivo</v>
      </c>
    </row>
    <row r="154" ht="14.25" customHeight="1">
      <c r="A154" s="9" t="s">
        <v>251</v>
      </c>
      <c r="B154" s="10">
        <v>45814.0</v>
      </c>
      <c r="C154" s="9" t="s">
        <v>70</v>
      </c>
      <c r="D154" s="14" t="s">
        <v>87</v>
      </c>
      <c r="E154" s="9" t="s">
        <v>11</v>
      </c>
      <c r="F154" s="9" t="s">
        <v>14</v>
      </c>
      <c r="G154" s="11">
        <v>1488.0</v>
      </c>
      <c r="H154" s="9">
        <v>3.0</v>
      </c>
      <c r="I154" s="12" t="str">
        <f t="array" ref="I154">_xlfn.XLOOKUP(C154, Clientes!A:A, Clientes!C:C) &amp; ", El Salvador"</f>
        <v>San Vicente, El Salvador</v>
      </c>
      <c r="J154" s="13" t="str">
        <f t="array" ref="J154">_xlfn.XLOOKUP(E154, Tecnicos!A:A, Tecnicos!B:B)</f>
        <v>Carlos Mendoza</v>
      </c>
      <c r="K154" s="13" t="str">
        <f t="array" ref="K154">_xlfn.XLOOKUP(C154, Clientes!A:A, Clientes!B:B)</f>
        <v>Hospital Santa Gertrudis</v>
      </c>
      <c r="L154" s="13" t="str">
        <f t="array" ref="L154">_xlfn.XLOOKUP(D154, Equipos!A:A, Equipos!B:B)</f>
        <v>Desfibrilador</v>
      </c>
      <c r="M154" s="9" t="str">
        <f t="array" ref="M154">_xlfn.XLOOKUP(F154, Tipo_Mtto!A:A, Tipo_Mtto!B:B)</f>
        <v>Preventivo Programado</v>
      </c>
    </row>
    <row r="155" ht="14.25" customHeight="1">
      <c r="A155" s="9" t="s">
        <v>252</v>
      </c>
      <c r="B155" s="10">
        <v>45819.0</v>
      </c>
      <c r="C155" s="9" t="s">
        <v>13</v>
      </c>
      <c r="D155" s="14" t="s">
        <v>79</v>
      </c>
      <c r="E155" s="9" t="s">
        <v>33</v>
      </c>
      <c r="F155" s="9" t="s">
        <v>23</v>
      </c>
      <c r="G155" s="11">
        <v>305.0</v>
      </c>
      <c r="H155" s="9">
        <v>9.0</v>
      </c>
      <c r="I155" s="12" t="str">
        <f t="array" ref="I155">_xlfn.XLOOKUP(C155, Clientes!A:A, Clientes!C:C) &amp; ", El Salvador"</f>
        <v>Ahuachapán, El Salvador</v>
      </c>
      <c r="J155" s="13" t="str">
        <f t="array" ref="J155">_xlfn.XLOOKUP(E155, Tecnicos!A:A, Tecnicos!B:B)</f>
        <v>Juan Pérez</v>
      </c>
      <c r="K155" s="13" t="str">
        <f t="array" ref="K155">_xlfn.XLOOKUP(C155, Clientes!A:A, Clientes!B:B)</f>
        <v>Hospital Nacional de Ahuachapán</v>
      </c>
      <c r="L155" s="13" t="str">
        <f t="array" ref="L155">_xlfn.XLOOKUP(D155, Equipos!A:A, Equipos!B:B)</f>
        <v>Incubadora</v>
      </c>
      <c r="M155" s="9" t="str">
        <f t="array" ref="M155">_xlfn.XLOOKUP(F155, Tipo_Mtto!A:A, Tipo_Mtto!B:B)</f>
        <v>Correctivo</v>
      </c>
    </row>
    <row r="156" ht="14.25" customHeight="1">
      <c r="A156" s="9" t="s">
        <v>253</v>
      </c>
      <c r="B156" s="10">
        <v>45821.0</v>
      </c>
      <c r="C156" s="9" t="s">
        <v>13</v>
      </c>
      <c r="D156" s="14" t="s">
        <v>17</v>
      </c>
      <c r="E156" s="9" t="s">
        <v>25</v>
      </c>
      <c r="F156" s="9" t="s">
        <v>23</v>
      </c>
      <c r="G156" s="11">
        <v>2450.0</v>
      </c>
      <c r="H156" s="9">
        <v>11.0</v>
      </c>
      <c r="I156" s="12" t="str">
        <f t="array" ref="I156">_xlfn.XLOOKUP(C156, Clientes!A:A, Clientes!C:C) &amp; ", El Salvador"</f>
        <v>Ahuachapán, El Salvador</v>
      </c>
      <c r="J156" s="13" t="str">
        <f t="array" ref="J156">_xlfn.XLOOKUP(E156, Tecnicos!A:A, Tecnicos!B:B)</f>
        <v>Sofía Rodas</v>
      </c>
      <c r="K156" s="13" t="str">
        <f t="array" ref="K156">_xlfn.XLOOKUP(C156, Clientes!A:A, Clientes!B:B)</f>
        <v>Hospital Nacional de Ahuachapán</v>
      </c>
      <c r="L156" s="13" t="str">
        <f t="array" ref="L156">_xlfn.XLOOKUP(D156, Equipos!A:A, Equipos!B:B)</f>
        <v>Rayos X</v>
      </c>
      <c r="M156" s="9" t="str">
        <f t="array" ref="M156">_xlfn.XLOOKUP(F156, Tipo_Mtto!A:A, Tipo_Mtto!B:B)</f>
        <v>Correctivo</v>
      </c>
    </row>
    <row r="157" ht="14.25" customHeight="1">
      <c r="A157" s="9" t="s">
        <v>254</v>
      </c>
      <c r="B157" s="10">
        <v>45823.0</v>
      </c>
      <c r="C157" s="9" t="s">
        <v>44</v>
      </c>
      <c r="D157" s="14" t="s">
        <v>36</v>
      </c>
      <c r="E157" s="9" t="s">
        <v>33</v>
      </c>
      <c r="F157" s="9" t="s">
        <v>14</v>
      </c>
      <c r="G157" s="11">
        <v>1621.0</v>
      </c>
      <c r="H157" s="9">
        <v>12.0</v>
      </c>
      <c r="I157" s="12" t="str">
        <f t="array" ref="I157">_xlfn.XLOOKUP(C157, Clientes!A:A, Clientes!C:C) &amp; ", El Salvador"</f>
        <v>Chalatenango, El Salvador</v>
      </c>
      <c r="J157" s="13" t="str">
        <f t="array" ref="J157">_xlfn.XLOOKUP(E157, Tecnicos!A:A, Tecnicos!B:B)</f>
        <v>Juan Pérez</v>
      </c>
      <c r="K157" s="13" t="str">
        <f t="array" ref="K157">_xlfn.XLOOKUP(C157, Clientes!A:A, Clientes!B:B)</f>
        <v>Hospital Dr. Luis Edmundo Vásquez</v>
      </c>
      <c r="L157" s="13" t="str">
        <f t="array" ref="L157">_xlfn.XLOOKUP(D157, Equipos!A:A, Equipos!B:B)</f>
        <v>Ultrasonido</v>
      </c>
      <c r="M157" s="9" t="str">
        <f t="array" ref="M157">_xlfn.XLOOKUP(F157, Tipo_Mtto!A:A, Tipo_Mtto!B:B)</f>
        <v>Preventivo Programado</v>
      </c>
    </row>
    <row r="158" ht="14.25" customHeight="1">
      <c r="A158" s="9" t="s">
        <v>255</v>
      </c>
      <c r="B158" s="10">
        <v>45827.0</v>
      </c>
      <c r="C158" s="9" t="s">
        <v>50</v>
      </c>
      <c r="D158" s="14" t="s">
        <v>79</v>
      </c>
      <c r="E158" s="9" t="s">
        <v>33</v>
      </c>
      <c r="F158" s="9" t="s">
        <v>23</v>
      </c>
      <c r="G158" s="11">
        <v>800.0</v>
      </c>
      <c r="H158" s="9">
        <v>10.0</v>
      </c>
      <c r="I158" s="12" t="str">
        <f t="array" ref="I158">_xlfn.XLOOKUP(C158, Clientes!A:A, Clientes!C:C) &amp; ", El Salvador"</f>
        <v>La Libertad, El Salvador</v>
      </c>
      <c r="J158" s="13" t="str">
        <f t="array" ref="J158">_xlfn.XLOOKUP(E158, Tecnicos!A:A, Tecnicos!B:B)</f>
        <v>Juan Pérez</v>
      </c>
      <c r="K158" s="13" t="str">
        <f t="array" ref="K158">_xlfn.XLOOKUP(C158, Clientes!A:A, Clientes!B:B)</f>
        <v>Hospital San Rafael</v>
      </c>
      <c r="L158" s="13" t="str">
        <f t="array" ref="L158">_xlfn.XLOOKUP(D158, Equipos!A:A, Equipos!B:B)</f>
        <v>Incubadora</v>
      </c>
      <c r="M158" s="9" t="str">
        <f t="array" ref="M158">_xlfn.XLOOKUP(F158, Tipo_Mtto!A:A, Tipo_Mtto!B:B)</f>
        <v>Correctivo</v>
      </c>
    </row>
    <row r="159" ht="14.25" customHeight="1">
      <c r="A159" s="9" t="s">
        <v>256</v>
      </c>
      <c r="B159" s="10">
        <v>45828.0</v>
      </c>
      <c r="C159" s="9" t="s">
        <v>70</v>
      </c>
      <c r="D159" s="14" t="s">
        <v>79</v>
      </c>
      <c r="E159" s="9" t="s">
        <v>33</v>
      </c>
      <c r="F159" s="9" t="s">
        <v>14</v>
      </c>
      <c r="G159" s="11">
        <v>2406.0</v>
      </c>
      <c r="H159" s="9">
        <v>6.0</v>
      </c>
      <c r="I159" s="12" t="str">
        <f t="array" ref="I159">_xlfn.XLOOKUP(C159, Clientes!A:A, Clientes!C:C) &amp; ", El Salvador"</f>
        <v>San Vicente, El Salvador</v>
      </c>
      <c r="J159" s="13" t="str">
        <f t="array" ref="J159">_xlfn.XLOOKUP(E159, Tecnicos!A:A, Tecnicos!B:B)</f>
        <v>Juan Pérez</v>
      </c>
      <c r="K159" s="13" t="str">
        <f t="array" ref="K159">_xlfn.XLOOKUP(C159, Clientes!A:A, Clientes!B:B)</f>
        <v>Hospital Santa Gertrudis</v>
      </c>
      <c r="L159" s="13" t="str">
        <f t="array" ref="L159">_xlfn.XLOOKUP(D159, Equipos!A:A, Equipos!B:B)</f>
        <v>Incubadora</v>
      </c>
      <c r="M159" s="9" t="str">
        <f t="array" ref="M159">_xlfn.XLOOKUP(F159, Tipo_Mtto!A:A, Tipo_Mtto!B:B)</f>
        <v>Preventivo Programado</v>
      </c>
    </row>
    <row r="160" ht="14.25" customHeight="1">
      <c r="A160" s="9" t="s">
        <v>257</v>
      </c>
      <c r="B160" s="10">
        <v>45834.0</v>
      </c>
      <c r="C160" s="9" t="s">
        <v>44</v>
      </c>
      <c r="D160" s="14" t="s">
        <v>87</v>
      </c>
      <c r="E160" s="9" t="s">
        <v>11</v>
      </c>
      <c r="F160" s="9" t="s">
        <v>35</v>
      </c>
      <c r="G160" s="11">
        <v>1563.0</v>
      </c>
      <c r="H160" s="9">
        <v>6.0</v>
      </c>
      <c r="I160" s="12" t="str">
        <f t="array" ref="I160">_xlfn.XLOOKUP(C160, Clientes!A:A, Clientes!C:C) &amp; ", El Salvador"</f>
        <v>Chalatenango, El Salvador</v>
      </c>
      <c r="J160" s="13" t="str">
        <f t="array" ref="J160">_xlfn.XLOOKUP(E160, Tecnicos!A:A, Tecnicos!B:B)</f>
        <v>Carlos Mendoza</v>
      </c>
      <c r="K160" s="13" t="str">
        <f t="array" ref="K160">_xlfn.XLOOKUP(C160, Clientes!A:A, Clientes!B:B)</f>
        <v>Hospital Dr. Luis Edmundo Vásquez</v>
      </c>
      <c r="L160" s="13" t="str">
        <f t="array" ref="L160">_xlfn.XLOOKUP(D160, Equipos!A:A, Equipos!B:B)</f>
        <v>Desfibrilador</v>
      </c>
      <c r="M160" s="9" t="str">
        <f t="array" ref="M160">_xlfn.XLOOKUP(F160, Tipo_Mtto!A:A, Tipo_Mtto!B:B)</f>
        <v>Instalación</v>
      </c>
    </row>
    <row r="161" ht="14.25" customHeight="1">
      <c r="A161" s="9" t="s">
        <v>258</v>
      </c>
      <c r="B161" s="10">
        <v>45836.0</v>
      </c>
      <c r="C161" s="9" t="s">
        <v>50</v>
      </c>
      <c r="D161" s="14" t="s">
        <v>79</v>
      </c>
      <c r="E161" s="9" t="s">
        <v>51</v>
      </c>
      <c r="F161" s="9" t="s">
        <v>14</v>
      </c>
      <c r="G161" s="11">
        <v>1843.0</v>
      </c>
      <c r="H161" s="9">
        <v>9.0</v>
      </c>
      <c r="I161" s="12" t="str">
        <f t="array" ref="I161">_xlfn.XLOOKUP(C161, Clientes!A:A, Clientes!C:C) &amp; ", El Salvador"</f>
        <v>La Libertad, El Salvador</v>
      </c>
      <c r="J161" s="13" t="str">
        <f t="array" ref="J161">_xlfn.XLOOKUP(E161, Tecnicos!A:A, Tecnicos!B:B)</f>
        <v>Luis Martínez</v>
      </c>
      <c r="K161" s="13" t="str">
        <f t="array" ref="K161">_xlfn.XLOOKUP(C161, Clientes!A:A, Clientes!B:B)</f>
        <v>Hospital San Rafael</v>
      </c>
      <c r="L161" s="13" t="str">
        <f t="array" ref="L161">_xlfn.XLOOKUP(D161, Equipos!A:A, Equipos!B:B)</f>
        <v>Incubadora</v>
      </c>
      <c r="M161" s="9" t="str">
        <f t="array" ref="M161">_xlfn.XLOOKUP(F161, Tipo_Mtto!A:A, Tipo_Mtto!B:B)</f>
        <v>Preventivo Programado</v>
      </c>
    </row>
    <row r="162" ht="14.25" customHeight="1">
      <c r="A162" s="9" t="s">
        <v>259</v>
      </c>
      <c r="B162" s="10">
        <v>45837.0</v>
      </c>
      <c r="C162" s="9" t="s">
        <v>24</v>
      </c>
      <c r="D162" s="14" t="s">
        <v>63</v>
      </c>
      <c r="E162" s="9" t="s">
        <v>33</v>
      </c>
      <c r="F162" s="9" t="s">
        <v>23</v>
      </c>
      <c r="G162" s="11">
        <v>1779.0</v>
      </c>
      <c r="H162" s="9">
        <v>10.0</v>
      </c>
      <c r="I162" s="12" t="str">
        <f t="array" ref="I162">_xlfn.XLOOKUP(C162, Clientes!A:A, Clientes!C:C) &amp; ", El Salvador"</f>
        <v>Santa Ana, El Salvador</v>
      </c>
      <c r="J162" s="13" t="str">
        <f t="array" ref="J162">_xlfn.XLOOKUP(E162, Tecnicos!A:A, Tecnicos!B:B)</f>
        <v>Juan Pérez</v>
      </c>
      <c r="K162" s="13" t="str">
        <f t="array" ref="K162">_xlfn.XLOOKUP(C162, Clientes!A:A, Clientes!B:B)</f>
        <v>Hospital San Juan de Dios</v>
      </c>
      <c r="L162" s="13" t="str">
        <f t="array" ref="L162">_xlfn.XLOOKUP(D162, Equipos!A:A, Equipos!B:B)</f>
        <v>Monitor</v>
      </c>
      <c r="M162" s="9" t="str">
        <f t="array" ref="M162">_xlfn.XLOOKUP(F162, Tipo_Mtto!A:A, Tipo_Mtto!B:B)</f>
        <v>Correctivo</v>
      </c>
    </row>
    <row r="163" ht="14.25" customHeight="1">
      <c r="A163" s="9" t="s">
        <v>260</v>
      </c>
      <c r="B163" s="10">
        <v>45838.0</v>
      </c>
      <c r="C163" s="9" t="s">
        <v>75</v>
      </c>
      <c r="D163" s="14" t="s">
        <v>36</v>
      </c>
      <c r="E163" s="9" t="s">
        <v>25</v>
      </c>
      <c r="F163" s="9" t="s">
        <v>35</v>
      </c>
      <c r="G163" s="11">
        <v>826.0</v>
      </c>
      <c r="H163" s="9">
        <v>10.0</v>
      </c>
      <c r="I163" s="12" t="str">
        <f t="array" ref="I163">_xlfn.XLOOKUP(C163, Clientes!A:A, Clientes!C:C) &amp; ", El Salvador"</f>
        <v>Usulután, El Salvador</v>
      </c>
      <c r="J163" s="13" t="str">
        <f t="array" ref="J163">_xlfn.XLOOKUP(E163, Tecnicos!A:A, Tecnicos!B:B)</f>
        <v>Sofía Rodas</v>
      </c>
      <c r="K163" s="13" t="str">
        <f t="array" ref="K163">_xlfn.XLOOKUP(C163, Clientes!A:A, Clientes!B:B)</f>
        <v>Hospital de Usulután</v>
      </c>
      <c r="L163" s="13" t="str">
        <f t="array" ref="L163">_xlfn.XLOOKUP(D163, Equipos!A:A, Equipos!B:B)</f>
        <v>Ultrasonido</v>
      </c>
      <c r="M163" s="9" t="str">
        <f t="array" ref="M163">_xlfn.XLOOKUP(F163, Tipo_Mtto!A:A, Tipo_Mtto!B:B)</f>
        <v>Instalación</v>
      </c>
    </row>
    <row r="164" ht="14.25" customHeight="1">
      <c r="A164" s="9" t="s">
        <v>261</v>
      </c>
      <c r="B164" s="10">
        <v>45842.0</v>
      </c>
      <c r="C164" s="9" t="s">
        <v>83</v>
      </c>
      <c r="D164" s="14" t="s">
        <v>71</v>
      </c>
      <c r="E164" s="9" t="s">
        <v>11</v>
      </c>
      <c r="F164" s="9" t="s">
        <v>14</v>
      </c>
      <c r="G164" s="11">
        <v>2443.0</v>
      </c>
      <c r="H164" s="9">
        <v>5.0</v>
      </c>
      <c r="I164" s="12" t="str">
        <f t="array" ref="I164">_xlfn.XLOOKUP(C164, Clientes!A:A, Clientes!C:C) &amp; ", El Salvador"</f>
        <v>Morazán, El Salvador</v>
      </c>
      <c r="J164" s="13" t="str">
        <f t="array" ref="J164">_xlfn.XLOOKUP(E164, Tecnicos!A:A, Tecnicos!B:B)</f>
        <v>Carlos Mendoza</v>
      </c>
      <c r="K164" s="13" t="str">
        <f t="array" ref="K164">_xlfn.XLOOKUP(C164, Clientes!A:A, Clientes!B:B)</f>
        <v>Hospital de San Francisco Gotera</v>
      </c>
      <c r="L164" s="13" t="str">
        <f t="array" ref="L164">_xlfn.XLOOKUP(D164, Equipos!A:A, Equipos!B:B)</f>
        <v>Ventilador</v>
      </c>
      <c r="M164" s="9" t="str">
        <f t="array" ref="M164">_xlfn.XLOOKUP(F164, Tipo_Mtto!A:A, Tipo_Mtto!B:B)</f>
        <v>Preventivo Programado</v>
      </c>
    </row>
    <row r="165" ht="14.25" customHeight="1">
      <c r="A165" s="9" t="s">
        <v>262</v>
      </c>
      <c r="B165" s="10">
        <v>45845.0</v>
      </c>
      <c r="C165" s="9" t="s">
        <v>61</v>
      </c>
      <c r="D165" s="14" t="s">
        <v>17</v>
      </c>
      <c r="E165" s="9" t="s">
        <v>25</v>
      </c>
      <c r="F165" s="9" t="s">
        <v>35</v>
      </c>
      <c r="G165" s="11">
        <v>557.0</v>
      </c>
      <c r="H165" s="9">
        <v>6.0</v>
      </c>
      <c r="I165" s="12" t="str">
        <f t="array" ref="I165">_xlfn.XLOOKUP(C165, Clientes!A:A, Clientes!C:C) &amp; ", El Salvador"</f>
        <v>La Paz, El Salvador</v>
      </c>
      <c r="J165" s="13" t="str">
        <f t="array" ref="J165">_xlfn.XLOOKUP(E165, Tecnicos!A:A, Tecnicos!B:B)</f>
        <v>Sofía Rodas</v>
      </c>
      <c r="K165" s="13" t="str">
        <f t="array" ref="K165">_xlfn.XLOOKUP(C165, Clientes!A:A, Clientes!B:B)</f>
        <v>Hospital Santa Teresa</v>
      </c>
      <c r="L165" s="13" t="str">
        <f t="array" ref="L165">_xlfn.XLOOKUP(D165, Equipos!A:A, Equipos!B:B)</f>
        <v>Rayos X</v>
      </c>
      <c r="M165" s="9" t="str">
        <f t="array" ref="M165">_xlfn.XLOOKUP(F165, Tipo_Mtto!A:A, Tipo_Mtto!B:B)</f>
        <v>Instalación</v>
      </c>
    </row>
    <row r="166" ht="14.25" customHeight="1">
      <c r="A166" s="9" t="s">
        <v>263</v>
      </c>
      <c r="B166" s="10">
        <v>45846.0</v>
      </c>
      <c r="C166" s="9" t="s">
        <v>61</v>
      </c>
      <c r="D166" s="14" t="s">
        <v>63</v>
      </c>
      <c r="E166" s="9" t="s">
        <v>51</v>
      </c>
      <c r="F166" s="9" t="s">
        <v>35</v>
      </c>
      <c r="G166" s="11">
        <v>522.0</v>
      </c>
      <c r="H166" s="9">
        <v>3.0</v>
      </c>
      <c r="I166" s="12" t="str">
        <f t="array" ref="I166">_xlfn.XLOOKUP(C166, Clientes!A:A, Clientes!C:C) &amp; ", El Salvador"</f>
        <v>La Paz, El Salvador</v>
      </c>
      <c r="J166" s="13" t="str">
        <f t="array" ref="J166">_xlfn.XLOOKUP(E166, Tecnicos!A:A, Tecnicos!B:B)</f>
        <v>Luis Martínez</v>
      </c>
      <c r="K166" s="13" t="str">
        <f t="array" ref="K166">_xlfn.XLOOKUP(C166, Clientes!A:A, Clientes!B:B)</f>
        <v>Hospital Santa Teresa</v>
      </c>
      <c r="L166" s="13" t="str">
        <f t="array" ref="L166">_xlfn.XLOOKUP(D166, Equipos!A:A, Equipos!B:B)</f>
        <v>Monitor</v>
      </c>
      <c r="M166" s="9" t="str">
        <f t="array" ref="M166">_xlfn.XLOOKUP(F166, Tipo_Mtto!A:A, Tipo_Mtto!B:B)</f>
        <v>Instalación</v>
      </c>
    </row>
    <row r="167" ht="14.25" customHeight="1">
      <c r="A167" s="9" t="s">
        <v>264</v>
      </c>
      <c r="B167" s="10">
        <v>45848.0</v>
      </c>
      <c r="C167" s="9" t="s">
        <v>50</v>
      </c>
      <c r="D167" s="14" t="s">
        <v>36</v>
      </c>
      <c r="E167" s="9" t="s">
        <v>33</v>
      </c>
      <c r="F167" s="9" t="s">
        <v>35</v>
      </c>
      <c r="G167" s="11">
        <v>240.0</v>
      </c>
      <c r="H167" s="9">
        <v>3.0</v>
      </c>
      <c r="I167" s="12" t="str">
        <f t="array" ref="I167">_xlfn.XLOOKUP(C167, Clientes!A:A, Clientes!C:C) &amp; ", El Salvador"</f>
        <v>La Libertad, El Salvador</v>
      </c>
      <c r="J167" s="13" t="str">
        <f t="array" ref="J167">_xlfn.XLOOKUP(E167, Tecnicos!A:A, Tecnicos!B:B)</f>
        <v>Juan Pérez</v>
      </c>
      <c r="K167" s="13" t="str">
        <f t="array" ref="K167">_xlfn.XLOOKUP(C167, Clientes!A:A, Clientes!B:B)</f>
        <v>Hospital San Rafael</v>
      </c>
      <c r="L167" s="13" t="str">
        <f t="array" ref="L167">_xlfn.XLOOKUP(D167, Equipos!A:A, Equipos!B:B)</f>
        <v>Ultrasonido</v>
      </c>
      <c r="M167" s="9" t="str">
        <f t="array" ref="M167">_xlfn.XLOOKUP(F167, Tipo_Mtto!A:A, Tipo_Mtto!B:B)</f>
        <v>Instalación</v>
      </c>
    </row>
    <row r="168" ht="14.25" customHeight="1">
      <c r="A168" s="9" t="s">
        <v>265</v>
      </c>
      <c r="B168" s="10">
        <v>45851.0</v>
      </c>
      <c r="C168" s="9" t="s">
        <v>80</v>
      </c>
      <c r="D168" s="14" t="s">
        <v>36</v>
      </c>
      <c r="E168" s="9" t="s">
        <v>25</v>
      </c>
      <c r="F168" s="9" t="s">
        <v>35</v>
      </c>
      <c r="G168" s="11">
        <v>1739.0</v>
      </c>
      <c r="H168" s="9">
        <v>12.0</v>
      </c>
      <c r="I168" s="12" t="str">
        <f t="array" ref="I168">_xlfn.XLOOKUP(C168, Clientes!A:A, Clientes!C:C) &amp; ", El Salvador"</f>
        <v>San Miguel, El Salvador</v>
      </c>
      <c r="J168" s="13" t="str">
        <f t="array" ref="J168">_xlfn.XLOOKUP(E168, Tecnicos!A:A, Tecnicos!B:B)</f>
        <v>Sofía Rodas</v>
      </c>
      <c r="K168" s="13" t="str">
        <f t="array" ref="K168">_xlfn.XLOOKUP(C168, Clientes!A:A, Clientes!B:B)</f>
        <v>Hospital San Juan de Dios</v>
      </c>
      <c r="L168" s="13" t="str">
        <f t="array" ref="L168">_xlfn.XLOOKUP(D168, Equipos!A:A, Equipos!B:B)</f>
        <v>Ultrasonido</v>
      </c>
      <c r="M168" s="9" t="str">
        <f t="array" ref="M168">_xlfn.XLOOKUP(F168, Tipo_Mtto!A:A, Tipo_Mtto!B:B)</f>
        <v>Instalación</v>
      </c>
    </row>
    <row r="169" ht="14.25" customHeight="1">
      <c r="A169" s="9" t="s">
        <v>266</v>
      </c>
      <c r="B169" s="10">
        <v>45857.0</v>
      </c>
      <c r="C169" s="9" t="s">
        <v>24</v>
      </c>
      <c r="D169" s="14" t="s">
        <v>63</v>
      </c>
      <c r="E169" s="9" t="s">
        <v>45</v>
      </c>
      <c r="F169" s="9" t="s">
        <v>35</v>
      </c>
      <c r="G169" s="11">
        <v>1433.0</v>
      </c>
      <c r="H169" s="9">
        <v>4.0</v>
      </c>
      <c r="I169" s="12" t="str">
        <f t="array" ref="I169">_xlfn.XLOOKUP(C169, Clientes!A:A, Clientes!C:C) &amp; ", El Salvador"</f>
        <v>Santa Ana, El Salvador</v>
      </c>
      <c r="J169" s="13" t="str">
        <f t="array" ref="J169">_xlfn.XLOOKUP(E169, Tecnicos!A:A, Tecnicos!B:B)</f>
        <v>Elena Gómez</v>
      </c>
      <c r="K169" s="13" t="str">
        <f t="array" ref="K169">_xlfn.XLOOKUP(C169, Clientes!A:A, Clientes!B:B)</f>
        <v>Hospital San Juan de Dios</v>
      </c>
      <c r="L169" s="13" t="str">
        <f t="array" ref="L169">_xlfn.XLOOKUP(D169, Equipos!A:A, Equipos!B:B)</f>
        <v>Monitor</v>
      </c>
      <c r="M169" s="9" t="str">
        <f t="array" ref="M169">_xlfn.XLOOKUP(F169, Tipo_Mtto!A:A, Tipo_Mtto!B:B)</f>
        <v>Instalación</v>
      </c>
    </row>
    <row r="170" ht="14.25" customHeight="1">
      <c r="A170" s="9" t="s">
        <v>267</v>
      </c>
      <c r="B170" s="10">
        <v>45862.0</v>
      </c>
      <c r="C170" s="9" t="s">
        <v>44</v>
      </c>
      <c r="D170" s="14" t="s">
        <v>79</v>
      </c>
      <c r="E170" s="9" t="s">
        <v>33</v>
      </c>
      <c r="F170" s="9" t="s">
        <v>14</v>
      </c>
      <c r="G170" s="11">
        <v>2124.0</v>
      </c>
      <c r="H170" s="9">
        <v>9.0</v>
      </c>
      <c r="I170" s="12" t="str">
        <f t="array" ref="I170">_xlfn.XLOOKUP(C170, Clientes!A:A, Clientes!C:C) &amp; ", El Salvador"</f>
        <v>Chalatenango, El Salvador</v>
      </c>
      <c r="J170" s="13" t="str">
        <f t="array" ref="J170">_xlfn.XLOOKUP(E170, Tecnicos!A:A, Tecnicos!B:B)</f>
        <v>Juan Pérez</v>
      </c>
      <c r="K170" s="13" t="str">
        <f t="array" ref="K170">_xlfn.XLOOKUP(C170, Clientes!A:A, Clientes!B:B)</f>
        <v>Hospital Dr. Luis Edmundo Vásquez</v>
      </c>
      <c r="L170" s="13" t="str">
        <f t="array" ref="L170">_xlfn.XLOOKUP(D170, Equipos!A:A, Equipos!B:B)</f>
        <v>Incubadora</v>
      </c>
      <c r="M170" s="9" t="str">
        <f t="array" ref="M170">_xlfn.XLOOKUP(F170, Tipo_Mtto!A:A, Tipo_Mtto!B:B)</f>
        <v>Preventivo Programado</v>
      </c>
    </row>
    <row r="171" ht="14.25" customHeight="1">
      <c r="A171" s="9" t="s">
        <v>268</v>
      </c>
      <c r="B171" s="10">
        <v>45864.0</v>
      </c>
      <c r="C171" s="9" t="s">
        <v>61</v>
      </c>
      <c r="D171" s="14" t="s">
        <v>63</v>
      </c>
      <c r="E171" s="9" t="s">
        <v>51</v>
      </c>
      <c r="F171" s="9" t="s">
        <v>23</v>
      </c>
      <c r="G171" s="11">
        <v>1897.0</v>
      </c>
      <c r="H171" s="9">
        <v>3.0</v>
      </c>
      <c r="I171" s="12" t="str">
        <f t="array" ref="I171">_xlfn.XLOOKUP(C171, Clientes!A:A, Clientes!C:C) &amp; ", El Salvador"</f>
        <v>La Paz, El Salvador</v>
      </c>
      <c r="J171" s="13" t="str">
        <f t="array" ref="J171">_xlfn.XLOOKUP(E171, Tecnicos!A:A, Tecnicos!B:B)</f>
        <v>Luis Martínez</v>
      </c>
      <c r="K171" s="13" t="str">
        <f t="array" ref="K171">_xlfn.XLOOKUP(C171, Clientes!A:A, Clientes!B:B)</f>
        <v>Hospital Santa Teresa</v>
      </c>
      <c r="L171" s="13" t="str">
        <f t="array" ref="L171">_xlfn.XLOOKUP(D171, Equipos!A:A, Equipos!B:B)</f>
        <v>Monitor</v>
      </c>
      <c r="M171" s="9" t="str">
        <f t="array" ref="M171">_xlfn.XLOOKUP(F171, Tipo_Mtto!A:A, Tipo_Mtto!B:B)</f>
        <v>Correctivo</v>
      </c>
    </row>
    <row r="172" ht="14.25" customHeight="1">
      <c r="A172" s="9" t="s">
        <v>269</v>
      </c>
      <c r="B172" s="10">
        <v>45867.0</v>
      </c>
      <c r="C172" s="9" t="s">
        <v>65</v>
      </c>
      <c r="D172" s="14" t="s">
        <v>17</v>
      </c>
      <c r="E172" s="9" t="s">
        <v>45</v>
      </c>
      <c r="F172" s="9" t="s">
        <v>14</v>
      </c>
      <c r="G172" s="11">
        <v>1609.0</v>
      </c>
      <c r="H172" s="9">
        <v>9.0</v>
      </c>
      <c r="I172" s="12" t="str">
        <f t="array" ref="I172">_xlfn.XLOOKUP(C172, Clientes!A:A, Clientes!C:C) &amp; ", El Salvador"</f>
        <v>Cabañas, El Salvador</v>
      </c>
      <c r="J172" s="13" t="str">
        <f t="array" ref="J172">_xlfn.XLOOKUP(E172, Tecnicos!A:A, Tecnicos!B:B)</f>
        <v>Elena Gómez</v>
      </c>
      <c r="K172" s="13" t="str">
        <f t="array" ref="K172">_xlfn.XLOOKUP(C172, Clientes!A:A, Clientes!B:B)</f>
        <v>Hospital de Sensuntepeque</v>
      </c>
      <c r="L172" s="13" t="str">
        <f t="array" ref="L172">_xlfn.XLOOKUP(D172, Equipos!A:A, Equipos!B:B)</f>
        <v>Rayos X</v>
      </c>
      <c r="M172" s="9" t="str">
        <f t="array" ref="M172">_xlfn.XLOOKUP(F172, Tipo_Mtto!A:A, Tipo_Mtto!B:B)</f>
        <v>Preventivo Programado</v>
      </c>
    </row>
    <row r="173" ht="14.25" customHeight="1">
      <c r="A173" s="9" t="s">
        <v>270</v>
      </c>
      <c r="B173" s="10">
        <v>45868.0</v>
      </c>
      <c r="C173" s="9" t="s">
        <v>83</v>
      </c>
      <c r="D173" s="14" t="s">
        <v>36</v>
      </c>
      <c r="E173" s="9" t="s">
        <v>11</v>
      </c>
      <c r="F173" s="9" t="s">
        <v>23</v>
      </c>
      <c r="G173" s="11">
        <v>1013.0</v>
      </c>
      <c r="H173" s="9">
        <v>5.0</v>
      </c>
      <c r="I173" s="12" t="str">
        <f t="array" ref="I173">_xlfn.XLOOKUP(C173, Clientes!A:A, Clientes!C:C) &amp; ", El Salvador"</f>
        <v>Morazán, El Salvador</v>
      </c>
      <c r="J173" s="13" t="str">
        <f t="array" ref="J173">_xlfn.XLOOKUP(E173, Tecnicos!A:A, Tecnicos!B:B)</f>
        <v>Carlos Mendoza</v>
      </c>
      <c r="K173" s="13" t="str">
        <f t="array" ref="K173">_xlfn.XLOOKUP(C173, Clientes!A:A, Clientes!B:B)</f>
        <v>Hospital de San Francisco Gotera</v>
      </c>
      <c r="L173" s="13" t="str">
        <f t="array" ref="L173">_xlfn.XLOOKUP(D173, Equipos!A:A, Equipos!B:B)</f>
        <v>Ultrasonido</v>
      </c>
      <c r="M173" s="9" t="str">
        <f t="array" ref="M173">_xlfn.XLOOKUP(F173, Tipo_Mtto!A:A, Tipo_Mtto!B:B)</f>
        <v>Correctivo</v>
      </c>
    </row>
    <row r="174" ht="14.25" customHeight="1">
      <c r="A174" s="9" t="s">
        <v>271</v>
      </c>
      <c r="B174" s="10">
        <v>45871.0</v>
      </c>
      <c r="C174" s="9" t="s">
        <v>80</v>
      </c>
      <c r="D174" s="14" t="s">
        <v>87</v>
      </c>
      <c r="E174" s="9" t="s">
        <v>51</v>
      </c>
      <c r="F174" s="9" t="s">
        <v>23</v>
      </c>
      <c r="G174" s="11">
        <v>767.0</v>
      </c>
      <c r="H174" s="9">
        <v>4.0</v>
      </c>
      <c r="I174" s="12" t="str">
        <f t="array" ref="I174">_xlfn.XLOOKUP(C174, Clientes!A:A, Clientes!C:C) &amp; ", El Salvador"</f>
        <v>San Miguel, El Salvador</v>
      </c>
      <c r="J174" s="13" t="str">
        <f t="array" ref="J174">_xlfn.XLOOKUP(E174, Tecnicos!A:A, Tecnicos!B:B)</f>
        <v>Luis Martínez</v>
      </c>
      <c r="K174" s="13" t="str">
        <f t="array" ref="K174">_xlfn.XLOOKUP(C174, Clientes!A:A, Clientes!B:B)</f>
        <v>Hospital San Juan de Dios</v>
      </c>
      <c r="L174" s="13" t="str">
        <f t="array" ref="L174">_xlfn.XLOOKUP(D174, Equipos!A:A, Equipos!B:B)</f>
        <v>Desfibrilador</v>
      </c>
      <c r="M174" s="9" t="str">
        <f t="array" ref="M174">_xlfn.XLOOKUP(F174, Tipo_Mtto!A:A, Tipo_Mtto!B:B)</f>
        <v>Correctivo</v>
      </c>
    </row>
    <row r="175" ht="14.25" customHeight="1">
      <c r="A175" s="9" t="s">
        <v>272</v>
      </c>
      <c r="B175" s="10">
        <v>45872.0</v>
      </c>
      <c r="C175" s="9" t="s">
        <v>13</v>
      </c>
      <c r="D175" s="14" t="s">
        <v>36</v>
      </c>
      <c r="E175" s="9" t="s">
        <v>51</v>
      </c>
      <c r="F175" s="9" t="s">
        <v>35</v>
      </c>
      <c r="G175" s="11">
        <v>726.0</v>
      </c>
      <c r="H175" s="9">
        <v>1.0</v>
      </c>
      <c r="I175" s="12" t="str">
        <f t="array" ref="I175">_xlfn.XLOOKUP(C175, Clientes!A:A, Clientes!C:C) &amp; ", El Salvador"</f>
        <v>Ahuachapán, El Salvador</v>
      </c>
      <c r="J175" s="13" t="str">
        <f t="array" ref="J175">_xlfn.XLOOKUP(E175, Tecnicos!A:A, Tecnicos!B:B)</f>
        <v>Luis Martínez</v>
      </c>
      <c r="K175" s="13" t="str">
        <f t="array" ref="K175">_xlfn.XLOOKUP(C175, Clientes!A:A, Clientes!B:B)</f>
        <v>Hospital Nacional de Ahuachapán</v>
      </c>
      <c r="L175" s="13" t="str">
        <f t="array" ref="L175">_xlfn.XLOOKUP(D175, Equipos!A:A, Equipos!B:B)</f>
        <v>Ultrasonido</v>
      </c>
      <c r="M175" s="9" t="str">
        <f t="array" ref="M175">_xlfn.XLOOKUP(F175, Tipo_Mtto!A:A, Tipo_Mtto!B:B)</f>
        <v>Instalación</v>
      </c>
    </row>
    <row r="176" ht="14.25" customHeight="1">
      <c r="A176" s="9" t="s">
        <v>273</v>
      </c>
      <c r="B176" s="10">
        <v>45875.0</v>
      </c>
      <c r="C176" s="9" t="s">
        <v>55</v>
      </c>
      <c r="D176" s="14" t="s">
        <v>63</v>
      </c>
      <c r="E176" s="9" t="s">
        <v>51</v>
      </c>
      <c r="F176" s="9" t="s">
        <v>23</v>
      </c>
      <c r="G176" s="11">
        <v>525.0</v>
      </c>
      <c r="H176" s="9">
        <v>5.0</v>
      </c>
      <c r="I176" s="12" t="str">
        <f t="array" ref="I176">_xlfn.XLOOKUP(C176, Clientes!A:A, Clientes!C:C) &amp; ", El Salvador"</f>
        <v>San Salvador, El Salvador</v>
      </c>
      <c r="J176" s="13" t="str">
        <f t="array" ref="J176">_xlfn.XLOOKUP(E176, Tecnicos!A:A, Tecnicos!B:B)</f>
        <v>Luis Martínez</v>
      </c>
      <c r="K176" s="13" t="str">
        <f t="array" ref="K176">_xlfn.XLOOKUP(C176, Clientes!A:A, Clientes!B:B)</f>
        <v>Hospital Nacional Rosales</v>
      </c>
      <c r="L176" s="13" t="str">
        <f t="array" ref="L176">_xlfn.XLOOKUP(D176, Equipos!A:A, Equipos!B:B)</f>
        <v>Monitor</v>
      </c>
      <c r="M176" s="9" t="str">
        <f t="array" ref="M176">_xlfn.XLOOKUP(F176, Tipo_Mtto!A:A, Tipo_Mtto!B:B)</f>
        <v>Correctivo</v>
      </c>
    </row>
    <row r="177" ht="14.25" customHeight="1">
      <c r="A177" s="9" t="s">
        <v>274</v>
      </c>
      <c r="B177" s="10">
        <v>45879.0</v>
      </c>
      <c r="C177" s="9" t="s">
        <v>44</v>
      </c>
      <c r="D177" s="14" t="s">
        <v>63</v>
      </c>
      <c r="E177" s="9" t="s">
        <v>45</v>
      </c>
      <c r="F177" s="9" t="s">
        <v>14</v>
      </c>
      <c r="G177" s="11">
        <v>1610.0</v>
      </c>
      <c r="H177" s="9">
        <v>5.0</v>
      </c>
      <c r="I177" s="12" t="str">
        <f t="array" ref="I177">_xlfn.XLOOKUP(C177, Clientes!A:A, Clientes!C:C) &amp; ", El Salvador"</f>
        <v>Chalatenango, El Salvador</v>
      </c>
      <c r="J177" s="13" t="str">
        <f t="array" ref="J177">_xlfn.XLOOKUP(E177, Tecnicos!A:A, Tecnicos!B:B)</f>
        <v>Elena Gómez</v>
      </c>
      <c r="K177" s="13" t="str">
        <f t="array" ref="K177">_xlfn.XLOOKUP(C177, Clientes!A:A, Clientes!B:B)</f>
        <v>Hospital Dr. Luis Edmundo Vásquez</v>
      </c>
      <c r="L177" s="13" t="str">
        <f t="array" ref="L177">_xlfn.XLOOKUP(D177, Equipos!A:A, Equipos!B:B)</f>
        <v>Monitor</v>
      </c>
      <c r="M177" s="9" t="str">
        <f t="array" ref="M177">_xlfn.XLOOKUP(F177, Tipo_Mtto!A:A, Tipo_Mtto!B:B)</f>
        <v>Preventivo Programado</v>
      </c>
    </row>
    <row r="178" ht="14.25" customHeight="1">
      <c r="A178" s="9" t="s">
        <v>275</v>
      </c>
      <c r="B178" s="10">
        <v>45883.0</v>
      </c>
      <c r="C178" s="9" t="s">
        <v>83</v>
      </c>
      <c r="D178" s="14" t="s">
        <v>36</v>
      </c>
      <c r="E178" s="9" t="s">
        <v>51</v>
      </c>
      <c r="F178" s="9" t="s">
        <v>14</v>
      </c>
      <c r="G178" s="11">
        <v>2498.0</v>
      </c>
      <c r="H178" s="9">
        <v>5.0</v>
      </c>
      <c r="I178" s="12" t="str">
        <f t="array" ref="I178">_xlfn.XLOOKUP(C178, Clientes!A:A, Clientes!C:C) &amp; ", El Salvador"</f>
        <v>Morazán, El Salvador</v>
      </c>
      <c r="J178" s="13" t="str">
        <f t="array" ref="J178">_xlfn.XLOOKUP(E178, Tecnicos!A:A, Tecnicos!B:B)</f>
        <v>Luis Martínez</v>
      </c>
      <c r="K178" s="13" t="str">
        <f t="array" ref="K178">_xlfn.XLOOKUP(C178, Clientes!A:A, Clientes!B:B)</f>
        <v>Hospital de San Francisco Gotera</v>
      </c>
      <c r="L178" s="13" t="str">
        <f t="array" ref="L178">_xlfn.XLOOKUP(D178, Equipos!A:A, Equipos!B:B)</f>
        <v>Ultrasonido</v>
      </c>
      <c r="M178" s="9" t="str">
        <f t="array" ref="M178">_xlfn.XLOOKUP(F178, Tipo_Mtto!A:A, Tipo_Mtto!B:B)</f>
        <v>Preventivo Programado</v>
      </c>
    </row>
    <row r="179" ht="14.25" customHeight="1">
      <c r="A179" s="9" t="s">
        <v>276</v>
      </c>
      <c r="B179" s="10">
        <v>45889.0</v>
      </c>
      <c r="C179" s="9" t="s">
        <v>50</v>
      </c>
      <c r="D179" s="14" t="s">
        <v>36</v>
      </c>
      <c r="E179" s="9" t="s">
        <v>45</v>
      </c>
      <c r="F179" s="9" t="s">
        <v>35</v>
      </c>
      <c r="G179" s="11">
        <v>1449.0</v>
      </c>
      <c r="H179" s="9">
        <v>7.0</v>
      </c>
      <c r="I179" s="12" t="str">
        <f t="array" ref="I179">_xlfn.XLOOKUP(C179, Clientes!A:A, Clientes!C:C) &amp; ", El Salvador"</f>
        <v>La Libertad, El Salvador</v>
      </c>
      <c r="J179" s="13" t="str">
        <f t="array" ref="J179">_xlfn.XLOOKUP(E179, Tecnicos!A:A, Tecnicos!B:B)</f>
        <v>Elena Gómez</v>
      </c>
      <c r="K179" s="13" t="str">
        <f t="array" ref="K179">_xlfn.XLOOKUP(C179, Clientes!A:A, Clientes!B:B)</f>
        <v>Hospital San Rafael</v>
      </c>
      <c r="L179" s="13" t="str">
        <f t="array" ref="L179">_xlfn.XLOOKUP(D179, Equipos!A:A, Equipos!B:B)</f>
        <v>Ultrasonido</v>
      </c>
      <c r="M179" s="9" t="str">
        <f t="array" ref="M179">_xlfn.XLOOKUP(F179, Tipo_Mtto!A:A, Tipo_Mtto!B:B)</f>
        <v>Instalación</v>
      </c>
    </row>
    <row r="180" ht="14.25" customHeight="1">
      <c r="A180" s="9" t="s">
        <v>277</v>
      </c>
      <c r="B180" s="10">
        <v>45893.0</v>
      </c>
      <c r="C180" s="9" t="s">
        <v>34</v>
      </c>
      <c r="D180" s="14" t="s">
        <v>79</v>
      </c>
      <c r="E180" s="9" t="s">
        <v>45</v>
      </c>
      <c r="F180" s="9" t="s">
        <v>14</v>
      </c>
      <c r="G180" s="11">
        <v>1766.0</v>
      </c>
      <c r="H180" s="9">
        <v>8.0</v>
      </c>
      <c r="I180" s="12" t="str">
        <f t="array" ref="I180">_xlfn.XLOOKUP(C180, Clientes!A:A, Clientes!C:C) &amp; ", El Salvador"</f>
        <v>Sonsonate, El Salvador</v>
      </c>
      <c r="J180" s="13" t="str">
        <f t="array" ref="J180">_xlfn.XLOOKUP(E180, Tecnicos!A:A, Tecnicos!B:B)</f>
        <v>Elena Gómez</v>
      </c>
      <c r="K180" s="13" t="str">
        <f t="array" ref="K180">_xlfn.XLOOKUP(C180, Clientes!A:A, Clientes!B:B)</f>
        <v>Hospital Jorge Mazzini</v>
      </c>
      <c r="L180" s="13" t="str">
        <f t="array" ref="L180">_xlfn.XLOOKUP(D180, Equipos!A:A, Equipos!B:B)</f>
        <v>Incubadora</v>
      </c>
      <c r="M180" s="9" t="str">
        <f t="array" ref="M180">_xlfn.XLOOKUP(F180, Tipo_Mtto!A:A, Tipo_Mtto!B:B)</f>
        <v>Preventivo Programado</v>
      </c>
    </row>
    <row r="181" ht="14.25" customHeight="1">
      <c r="A181" s="9" t="s">
        <v>278</v>
      </c>
      <c r="B181" s="10">
        <v>45897.0</v>
      </c>
      <c r="C181" s="9" t="s">
        <v>55</v>
      </c>
      <c r="D181" s="14" t="s">
        <v>17</v>
      </c>
      <c r="E181" s="9" t="s">
        <v>25</v>
      </c>
      <c r="F181" s="9" t="s">
        <v>35</v>
      </c>
      <c r="G181" s="11">
        <v>445.0</v>
      </c>
      <c r="H181" s="9">
        <v>9.0</v>
      </c>
      <c r="I181" s="12" t="str">
        <f t="array" ref="I181">_xlfn.XLOOKUP(C181, Clientes!A:A, Clientes!C:C) &amp; ", El Salvador"</f>
        <v>San Salvador, El Salvador</v>
      </c>
      <c r="J181" s="13" t="str">
        <f t="array" ref="J181">_xlfn.XLOOKUP(E181, Tecnicos!A:A, Tecnicos!B:B)</f>
        <v>Sofía Rodas</v>
      </c>
      <c r="K181" s="13" t="str">
        <f t="array" ref="K181">_xlfn.XLOOKUP(C181, Clientes!A:A, Clientes!B:B)</f>
        <v>Hospital Nacional Rosales</v>
      </c>
      <c r="L181" s="13" t="str">
        <f t="array" ref="L181">_xlfn.XLOOKUP(D181, Equipos!A:A, Equipos!B:B)</f>
        <v>Rayos X</v>
      </c>
      <c r="M181" s="9" t="str">
        <f t="array" ref="M181">_xlfn.XLOOKUP(F181, Tipo_Mtto!A:A, Tipo_Mtto!B:B)</f>
        <v>Instalación</v>
      </c>
    </row>
    <row r="182" ht="14.25" customHeight="1">
      <c r="A182" s="9" t="s">
        <v>279</v>
      </c>
      <c r="B182" s="10">
        <v>45903.0</v>
      </c>
      <c r="C182" s="9" t="s">
        <v>61</v>
      </c>
      <c r="D182" s="14" t="s">
        <v>87</v>
      </c>
      <c r="E182" s="9" t="s">
        <v>45</v>
      </c>
      <c r="F182" s="9" t="s">
        <v>14</v>
      </c>
      <c r="G182" s="11">
        <v>2305.0</v>
      </c>
      <c r="H182" s="9">
        <v>10.0</v>
      </c>
      <c r="I182" s="12" t="str">
        <f t="array" ref="I182">_xlfn.XLOOKUP(C182, Clientes!A:A, Clientes!C:C) &amp; ", El Salvador"</f>
        <v>La Paz, El Salvador</v>
      </c>
      <c r="J182" s="13" t="str">
        <f t="array" ref="J182">_xlfn.XLOOKUP(E182, Tecnicos!A:A, Tecnicos!B:B)</f>
        <v>Elena Gómez</v>
      </c>
      <c r="K182" s="13" t="str">
        <f t="array" ref="K182">_xlfn.XLOOKUP(C182, Clientes!A:A, Clientes!B:B)</f>
        <v>Hospital Santa Teresa</v>
      </c>
      <c r="L182" s="13" t="str">
        <f t="array" ref="L182">_xlfn.XLOOKUP(D182, Equipos!A:A, Equipos!B:B)</f>
        <v>Desfibrilador</v>
      </c>
      <c r="M182" s="9" t="str">
        <f t="array" ref="M182">_xlfn.XLOOKUP(F182, Tipo_Mtto!A:A, Tipo_Mtto!B:B)</f>
        <v>Preventivo Programado</v>
      </c>
    </row>
    <row r="183" ht="14.25" customHeight="1">
      <c r="A183" s="9" t="s">
        <v>280</v>
      </c>
      <c r="B183" s="10">
        <v>45906.0</v>
      </c>
      <c r="C183" s="9" t="s">
        <v>75</v>
      </c>
      <c r="D183" s="14" t="s">
        <v>87</v>
      </c>
      <c r="E183" s="9" t="s">
        <v>33</v>
      </c>
      <c r="F183" s="9" t="s">
        <v>14</v>
      </c>
      <c r="G183" s="11">
        <v>2040.0</v>
      </c>
      <c r="H183" s="9">
        <v>6.0</v>
      </c>
      <c r="I183" s="12" t="str">
        <f t="array" ref="I183">_xlfn.XLOOKUP(C183, Clientes!A:A, Clientes!C:C) &amp; ", El Salvador"</f>
        <v>Usulután, El Salvador</v>
      </c>
      <c r="J183" s="13" t="str">
        <f t="array" ref="J183">_xlfn.XLOOKUP(E183, Tecnicos!A:A, Tecnicos!B:B)</f>
        <v>Juan Pérez</v>
      </c>
      <c r="K183" s="13" t="str">
        <f t="array" ref="K183">_xlfn.XLOOKUP(C183, Clientes!A:A, Clientes!B:B)</f>
        <v>Hospital de Usulután</v>
      </c>
      <c r="L183" s="13" t="str">
        <f t="array" ref="L183">_xlfn.XLOOKUP(D183, Equipos!A:A, Equipos!B:B)</f>
        <v>Desfibrilador</v>
      </c>
      <c r="M183" s="9" t="str">
        <f t="array" ref="M183">_xlfn.XLOOKUP(F183, Tipo_Mtto!A:A, Tipo_Mtto!B:B)</f>
        <v>Preventivo Programado</v>
      </c>
    </row>
    <row r="184" ht="14.25" customHeight="1">
      <c r="A184" s="9" t="s">
        <v>281</v>
      </c>
      <c r="B184" s="10">
        <v>45910.0</v>
      </c>
      <c r="C184" s="9" t="s">
        <v>75</v>
      </c>
      <c r="D184" s="14" t="s">
        <v>79</v>
      </c>
      <c r="E184" s="9" t="s">
        <v>25</v>
      </c>
      <c r="F184" s="9" t="s">
        <v>23</v>
      </c>
      <c r="G184" s="11">
        <v>1608.0</v>
      </c>
      <c r="H184" s="9">
        <v>3.0</v>
      </c>
      <c r="I184" s="12" t="str">
        <f t="array" ref="I184">_xlfn.XLOOKUP(C184, Clientes!A:A, Clientes!C:C) &amp; ", El Salvador"</f>
        <v>Usulután, El Salvador</v>
      </c>
      <c r="J184" s="13" t="str">
        <f t="array" ref="J184">_xlfn.XLOOKUP(E184, Tecnicos!A:A, Tecnicos!B:B)</f>
        <v>Sofía Rodas</v>
      </c>
      <c r="K184" s="13" t="str">
        <f t="array" ref="K184">_xlfn.XLOOKUP(C184, Clientes!A:A, Clientes!B:B)</f>
        <v>Hospital de Usulután</v>
      </c>
      <c r="L184" s="13" t="str">
        <f t="array" ref="L184">_xlfn.XLOOKUP(D184, Equipos!A:A, Equipos!B:B)</f>
        <v>Incubadora</v>
      </c>
      <c r="M184" s="9" t="str">
        <f t="array" ref="M184">_xlfn.XLOOKUP(F184, Tipo_Mtto!A:A, Tipo_Mtto!B:B)</f>
        <v>Correctivo</v>
      </c>
    </row>
    <row r="185" ht="14.25" customHeight="1">
      <c r="A185" s="9" t="s">
        <v>282</v>
      </c>
      <c r="B185" s="10">
        <v>45912.0</v>
      </c>
      <c r="C185" s="9" t="s">
        <v>50</v>
      </c>
      <c r="D185" s="14" t="s">
        <v>36</v>
      </c>
      <c r="E185" s="9" t="s">
        <v>25</v>
      </c>
      <c r="F185" s="9" t="s">
        <v>23</v>
      </c>
      <c r="G185" s="11">
        <v>2267.0</v>
      </c>
      <c r="H185" s="9">
        <v>6.0</v>
      </c>
      <c r="I185" s="12" t="str">
        <f t="array" ref="I185">_xlfn.XLOOKUP(C185, Clientes!A:A, Clientes!C:C) &amp; ", El Salvador"</f>
        <v>La Libertad, El Salvador</v>
      </c>
      <c r="J185" s="13" t="str">
        <f t="array" ref="J185">_xlfn.XLOOKUP(E185, Tecnicos!A:A, Tecnicos!B:B)</f>
        <v>Sofía Rodas</v>
      </c>
      <c r="K185" s="13" t="str">
        <f t="array" ref="K185">_xlfn.XLOOKUP(C185, Clientes!A:A, Clientes!B:B)</f>
        <v>Hospital San Rafael</v>
      </c>
      <c r="L185" s="13" t="str">
        <f t="array" ref="L185">_xlfn.XLOOKUP(D185, Equipos!A:A, Equipos!B:B)</f>
        <v>Ultrasonido</v>
      </c>
      <c r="M185" s="9" t="str">
        <f t="array" ref="M185">_xlfn.XLOOKUP(F185, Tipo_Mtto!A:A, Tipo_Mtto!B:B)</f>
        <v>Correctivo</v>
      </c>
    </row>
    <row r="186" ht="14.25" customHeight="1">
      <c r="A186" s="9" t="s">
        <v>283</v>
      </c>
      <c r="B186" s="10">
        <v>45918.0</v>
      </c>
      <c r="C186" s="9" t="s">
        <v>80</v>
      </c>
      <c r="D186" s="14" t="s">
        <v>79</v>
      </c>
      <c r="E186" s="9" t="s">
        <v>45</v>
      </c>
      <c r="F186" s="9" t="s">
        <v>23</v>
      </c>
      <c r="G186" s="11">
        <v>947.0</v>
      </c>
      <c r="H186" s="9">
        <v>8.0</v>
      </c>
      <c r="I186" s="12" t="str">
        <f t="array" ref="I186">_xlfn.XLOOKUP(C186, Clientes!A:A, Clientes!C:C) &amp; ", El Salvador"</f>
        <v>San Miguel, El Salvador</v>
      </c>
      <c r="J186" s="13" t="str">
        <f t="array" ref="J186">_xlfn.XLOOKUP(E186, Tecnicos!A:A, Tecnicos!B:B)</f>
        <v>Elena Gómez</v>
      </c>
      <c r="K186" s="13" t="str">
        <f t="array" ref="K186">_xlfn.XLOOKUP(C186, Clientes!A:A, Clientes!B:B)</f>
        <v>Hospital San Juan de Dios</v>
      </c>
      <c r="L186" s="13" t="str">
        <f t="array" ref="L186">_xlfn.XLOOKUP(D186, Equipos!A:A, Equipos!B:B)</f>
        <v>Incubadora</v>
      </c>
      <c r="M186" s="9" t="str">
        <f t="array" ref="M186">_xlfn.XLOOKUP(F186, Tipo_Mtto!A:A, Tipo_Mtto!B:B)</f>
        <v>Correctivo</v>
      </c>
    </row>
    <row r="187" ht="14.25" customHeight="1">
      <c r="A187" s="9" t="s">
        <v>284</v>
      </c>
      <c r="B187" s="10">
        <v>45924.0</v>
      </c>
      <c r="C187" s="9" t="s">
        <v>75</v>
      </c>
      <c r="D187" s="14" t="s">
        <v>79</v>
      </c>
      <c r="E187" s="9" t="s">
        <v>25</v>
      </c>
      <c r="F187" s="9" t="s">
        <v>23</v>
      </c>
      <c r="G187" s="11">
        <v>1177.0</v>
      </c>
      <c r="H187" s="9">
        <v>8.0</v>
      </c>
      <c r="I187" s="12" t="str">
        <f t="array" ref="I187">_xlfn.XLOOKUP(C187, Clientes!A:A, Clientes!C:C) &amp; ", El Salvador"</f>
        <v>Usulután, El Salvador</v>
      </c>
      <c r="J187" s="13" t="str">
        <f t="array" ref="J187">_xlfn.XLOOKUP(E187, Tecnicos!A:A, Tecnicos!B:B)</f>
        <v>Sofía Rodas</v>
      </c>
      <c r="K187" s="13" t="str">
        <f t="array" ref="K187">_xlfn.XLOOKUP(C187, Clientes!A:A, Clientes!B:B)</f>
        <v>Hospital de Usulután</v>
      </c>
      <c r="L187" s="13" t="str">
        <f t="array" ref="L187">_xlfn.XLOOKUP(D187, Equipos!A:A, Equipos!B:B)</f>
        <v>Incubadora</v>
      </c>
      <c r="M187" s="9" t="str">
        <f t="array" ref="M187">_xlfn.XLOOKUP(F187, Tipo_Mtto!A:A, Tipo_Mtto!B:B)</f>
        <v>Correctivo</v>
      </c>
    </row>
    <row r="188" ht="14.25" customHeight="1">
      <c r="A188" s="9" t="s">
        <v>285</v>
      </c>
      <c r="B188" s="10">
        <v>45928.0</v>
      </c>
      <c r="C188" s="9" t="s">
        <v>65</v>
      </c>
      <c r="D188" s="14" t="s">
        <v>63</v>
      </c>
      <c r="E188" s="9" t="s">
        <v>11</v>
      </c>
      <c r="F188" s="9" t="s">
        <v>23</v>
      </c>
      <c r="G188" s="11">
        <v>2014.0</v>
      </c>
      <c r="H188" s="9">
        <v>4.0</v>
      </c>
      <c r="I188" s="12" t="str">
        <f t="array" ref="I188">_xlfn.XLOOKUP(C188, Clientes!A:A, Clientes!C:C) &amp; ", El Salvador"</f>
        <v>Cabañas, El Salvador</v>
      </c>
      <c r="J188" s="13" t="str">
        <f t="array" ref="J188">_xlfn.XLOOKUP(E188, Tecnicos!A:A, Tecnicos!B:B)</f>
        <v>Carlos Mendoza</v>
      </c>
      <c r="K188" s="13" t="str">
        <f t="array" ref="K188">_xlfn.XLOOKUP(C188, Clientes!A:A, Clientes!B:B)</f>
        <v>Hospital de Sensuntepeque</v>
      </c>
      <c r="L188" s="13" t="str">
        <f t="array" ref="L188">_xlfn.XLOOKUP(D188, Equipos!A:A, Equipos!B:B)</f>
        <v>Monitor</v>
      </c>
      <c r="M188" s="9" t="str">
        <f t="array" ref="M188">_xlfn.XLOOKUP(F188, Tipo_Mtto!A:A, Tipo_Mtto!B:B)</f>
        <v>Correctivo</v>
      </c>
    </row>
    <row r="189" ht="14.25" customHeight="1">
      <c r="A189" s="9" t="s">
        <v>286</v>
      </c>
      <c r="B189" s="10">
        <v>45930.0</v>
      </c>
      <c r="C189" s="9" t="s">
        <v>13</v>
      </c>
      <c r="D189" s="14" t="s">
        <v>63</v>
      </c>
      <c r="E189" s="9" t="s">
        <v>11</v>
      </c>
      <c r="F189" s="9" t="s">
        <v>14</v>
      </c>
      <c r="G189" s="11">
        <v>1482.0</v>
      </c>
      <c r="H189" s="9">
        <v>5.0</v>
      </c>
      <c r="I189" s="12" t="str">
        <f t="array" ref="I189">_xlfn.XLOOKUP(C189, Clientes!A:A, Clientes!C:C) &amp; ", El Salvador"</f>
        <v>Ahuachapán, El Salvador</v>
      </c>
      <c r="J189" s="13" t="str">
        <f t="array" ref="J189">_xlfn.XLOOKUP(E189, Tecnicos!A:A, Tecnicos!B:B)</f>
        <v>Carlos Mendoza</v>
      </c>
      <c r="K189" s="13" t="str">
        <f t="array" ref="K189">_xlfn.XLOOKUP(C189, Clientes!A:A, Clientes!B:B)</f>
        <v>Hospital Nacional de Ahuachapán</v>
      </c>
      <c r="L189" s="13" t="str">
        <f t="array" ref="L189">_xlfn.XLOOKUP(D189, Equipos!A:A, Equipos!B:B)</f>
        <v>Monitor</v>
      </c>
      <c r="M189" s="9" t="str">
        <f t="array" ref="M189">_xlfn.XLOOKUP(F189, Tipo_Mtto!A:A, Tipo_Mtto!B:B)</f>
        <v>Preventivo Programado</v>
      </c>
    </row>
    <row r="190" ht="14.25" customHeight="1">
      <c r="A190" s="9" t="s">
        <v>287</v>
      </c>
      <c r="B190" s="10">
        <v>45936.0</v>
      </c>
      <c r="C190" s="9" t="s">
        <v>88</v>
      </c>
      <c r="D190" s="14" t="s">
        <v>36</v>
      </c>
      <c r="E190" s="9" t="s">
        <v>25</v>
      </c>
      <c r="F190" s="9" t="s">
        <v>35</v>
      </c>
      <c r="G190" s="11">
        <v>1335.0</v>
      </c>
      <c r="H190" s="9">
        <v>3.0</v>
      </c>
      <c r="I190" s="12" t="str">
        <f t="array" ref="I190">_xlfn.XLOOKUP(C190, Clientes!A:A, Clientes!C:C) &amp; ", El Salvador"</f>
        <v>La Unión, El Salvador</v>
      </c>
      <c r="J190" s="13" t="str">
        <f t="array" ref="J190">_xlfn.XLOOKUP(E190, Tecnicos!A:A, Tecnicos!B:B)</f>
        <v>Sofía Rodas</v>
      </c>
      <c r="K190" s="13" t="str">
        <f t="array" ref="K190">_xlfn.XLOOKUP(C190, Clientes!A:A, Clientes!B:B)</f>
        <v>Hospital de La Unión</v>
      </c>
      <c r="L190" s="13" t="str">
        <f t="array" ref="L190">_xlfn.XLOOKUP(D190, Equipos!A:A, Equipos!B:B)</f>
        <v>Ultrasonido</v>
      </c>
      <c r="M190" s="9" t="str">
        <f t="array" ref="M190">_xlfn.XLOOKUP(F190, Tipo_Mtto!A:A, Tipo_Mtto!B:B)</f>
        <v>Instalación</v>
      </c>
    </row>
    <row r="191" ht="14.25" customHeight="1">
      <c r="A191" s="9" t="s">
        <v>288</v>
      </c>
      <c r="B191" s="10">
        <v>45941.0</v>
      </c>
      <c r="C191" s="9" t="s">
        <v>58</v>
      </c>
      <c r="D191" s="14" t="s">
        <v>63</v>
      </c>
      <c r="E191" s="9" t="s">
        <v>51</v>
      </c>
      <c r="F191" s="9" t="s">
        <v>14</v>
      </c>
      <c r="G191" s="11">
        <v>1090.0</v>
      </c>
      <c r="H191" s="9">
        <v>9.0</v>
      </c>
      <c r="I191" s="12" t="str">
        <f t="array" ref="I191">_xlfn.XLOOKUP(C191, Clientes!A:A, Clientes!C:C) &amp; ", El Salvador"</f>
        <v>Cuscatlán, El Salvador</v>
      </c>
      <c r="J191" s="13" t="str">
        <f t="array" ref="J191">_xlfn.XLOOKUP(E191, Tecnicos!A:A, Tecnicos!B:B)</f>
        <v>Luis Martínez</v>
      </c>
      <c r="K191" s="13" t="str">
        <f t="array" ref="K191">_xlfn.XLOOKUP(C191, Clientes!A:A, Clientes!B:B)</f>
        <v>Hospital de Cojutepeque</v>
      </c>
      <c r="L191" s="13" t="str">
        <f t="array" ref="L191">_xlfn.XLOOKUP(D191, Equipos!A:A, Equipos!B:B)</f>
        <v>Monitor</v>
      </c>
      <c r="M191" s="9" t="str">
        <f t="array" ref="M191">_xlfn.XLOOKUP(F191, Tipo_Mtto!A:A, Tipo_Mtto!B:B)</f>
        <v>Preventivo Programado</v>
      </c>
    </row>
    <row r="192" ht="14.25" customHeight="1">
      <c r="A192" s="9" t="s">
        <v>289</v>
      </c>
      <c r="B192" s="10">
        <v>45945.0</v>
      </c>
      <c r="C192" s="9" t="s">
        <v>44</v>
      </c>
      <c r="D192" s="14" t="s">
        <v>63</v>
      </c>
      <c r="E192" s="9" t="s">
        <v>33</v>
      </c>
      <c r="F192" s="9" t="s">
        <v>14</v>
      </c>
      <c r="G192" s="11">
        <v>298.0</v>
      </c>
      <c r="H192" s="9">
        <v>9.0</v>
      </c>
      <c r="I192" s="12" t="str">
        <f t="array" ref="I192">_xlfn.XLOOKUP(C192, Clientes!A:A, Clientes!C:C) &amp; ", El Salvador"</f>
        <v>Chalatenango, El Salvador</v>
      </c>
      <c r="J192" s="13" t="str">
        <f t="array" ref="J192">_xlfn.XLOOKUP(E192, Tecnicos!A:A, Tecnicos!B:B)</f>
        <v>Juan Pérez</v>
      </c>
      <c r="K192" s="13" t="str">
        <f t="array" ref="K192">_xlfn.XLOOKUP(C192, Clientes!A:A, Clientes!B:B)</f>
        <v>Hospital Dr. Luis Edmundo Vásquez</v>
      </c>
      <c r="L192" s="13" t="str">
        <f t="array" ref="L192">_xlfn.XLOOKUP(D192, Equipos!A:A, Equipos!B:B)</f>
        <v>Monitor</v>
      </c>
      <c r="M192" s="9" t="str">
        <f t="array" ref="M192">_xlfn.XLOOKUP(F192, Tipo_Mtto!A:A, Tipo_Mtto!B:B)</f>
        <v>Preventivo Programado</v>
      </c>
    </row>
    <row r="193" ht="14.25" customHeight="1">
      <c r="A193" s="9" t="s">
        <v>290</v>
      </c>
      <c r="B193" s="10">
        <v>45948.0</v>
      </c>
      <c r="C193" s="9" t="s">
        <v>83</v>
      </c>
      <c r="D193" s="14" t="s">
        <v>71</v>
      </c>
      <c r="E193" s="9" t="s">
        <v>33</v>
      </c>
      <c r="F193" s="9" t="s">
        <v>23</v>
      </c>
      <c r="G193" s="11">
        <v>1682.0</v>
      </c>
      <c r="H193" s="9">
        <v>6.0</v>
      </c>
      <c r="I193" s="12" t="str">
        <f t="array" ref="I193">_xlfn.XLOOKUP(C193, Clientes!A:A, Clientes!C:C) &amp; ", El Salvador"</f>
        <v>Morazán, El Salvador</v>
      </c>
      <c r="J193" s="13" t="str">
        <f t="array" ref="J193">_xlfn.XLOOKUP(E193, Tecnicos!A:A, Tecnicos!B:B)</f>
        <v>Juan Pérez</v>
      </c>
      <c r="K193" s="13" t="str">
        <f t="array" ref="K193">_xlfn.XLOOKUP(C193, Clientes!A:A, Clientes!B:B)</f>
        <v>Hospital de San Francisco Gotera</v>
      </c>
      <c r="L193" s="13" t="str">
        <f t="array" ref="L193">_xlfn.XLOOKUP(D193, Equipos!A:A, Equipos!B:B)</f>
        <v>Ventilador</v>
      </c>
      <c r="M193" s="9" t="str">
        <f t="array" ref="M193">_xlfn.XLOOKUP(F193, Tipo_Mtto!A:A, Tipo_Mtto!B:B)</f>
        <v>Correctivo</v>
      </c>
    </row>
    <row r="194" ht="14.25" customHeight="1">
      <c r="A194" s="9" t="s">
        <v>291</v>
      </c>
      <c r="B194" s="10">
        <v>45952.0</v>
      </c>
      <c r="C194" s="9" t="s">
        <v>55</v>
      </c>
      <c r="D194" s="14" t="s">
        <v>63</v>
      </c>
      <c r="E194" s="9" t="s">
        <v>51</v>
      </c>
      <c r="F194" s="9" t="s">
        <v>14</v>
      </c>
      <c r="G194" s="11">
        <v>1570.0</v>
      </c>
      <c r="H194" s="9">
        <v>11.0</v>
      </c>
      <c r="I194" s="12" t="str">
        <f t="array" ref="I194">_xlfn.XLOOKUP(C194, Clientes!A:A, Clientes!C:C) &amp; ", El Salvador"</f>
        <v>San Salvador, El Salvador</v>
      </c>
      <c r="J194" s="13" t="str">
        <f t="array" ref="J194">_xlfn.XLOOKUP(E194, Tecnicos!A:A, Tecnicos!B:B)</f>
        <v>Luis Martínez</v>
      </c>
      <c r="K194" s="13" t="str">
        <f t="array" ref="K194">_xlfn.XLOOKUP(C194, Clientes!A:A, Clientes!B:B)</f>
        <v>Hospital Nacional Rosales</v>
      </c>
      <c r="L194" s="13" t="str">
        <f t="array" ref="L194">_xlfn.XLOOKUP(D194, Equipos!A:A, Equipos!B:B)</f>
        <v>Monitor</v>
      </c>
      <c r="M194" s="9" t="str">
        <f t="array" ref="M194">_xlfn.XLOOKUP(F194, Tipo_Mtto!A:A, Tipo_Mtto!B:B)</f>
        <v>Preventivo Programado</v>
      </c>
    </row>
    <row r="195" ht="14.25" customHeight="1">
      <c r="A195" s="9" t="s">
        <v>292</v>
      </c>
      <c r="B195" s="10">
        <v>45953.0</v>
      </c>
      <c r="C195" s="9" t="s">
        <v>65</v>
      </c>
      <c r="D195" s="14" t="s">
        <v>87</v>
      </c>
      <c r="E195" s="9" t="s">
        <v>51</v>
      </c>
      <c r="F195" s="9" t="s">
        <v>14</v>
      </c>
      <c r="G195" s="11">
        <v>2021.0</v>
      </c>
      <c r="H195" s="9">
        <v>11.0</v>
      </c>
      <c r="I195" s="12" t="str">
        <f t="array" ref="I195">_xlfn.XLOOKUP(C195, Clientes!A:A, Clientes!C:C) &amp; ", El Salvador"</f>
        <v>Cabañas, El Salvador</v>
      </c>
      <c r="J195" s="13" t="str">
        <f t="array" ref="J195">_xlfn.XLOOKUP(E195, Tecnicos!A:A, Tecnicos!B:B)</f>
        <v>Luis Martínez</v>
      </c>
      <c r="K195" s="13" t="str">
        <f t="array" ref="K195">_xlfn.XLOOKUP(C195, Clientes!A:A, Clientes!B:B)</f>
        <v>Hospital de Sensuntepeque</v>
      </c>
      <c r="L195" s="13" t="str">
        <f t="array" ref="L195">_xlfn.XLOOKUP(D195, Equipos!A:A, Equipos!B:B)</f>
        <v>Desfibrilador</v>
      </c>
      <c r="M195" s="9" t="str">
        <f t="array" ref="M195">_xlfn.XLOOKUP(F195, Tipo_Mtto!A:A, Tipo_Mtto!B:B)</f>
        <v>Preventivo Programado</v>
      </c>
    </row>
    <row r="196" ht="14.25" customHeight="1">
      <c r="A196" s="9" t="s">
        <v>293</v>
      </c>
      <c r="B196" s="10">
        <v>45959.0</v>
      </c>
      <c r="C196" s="9" t="s">
        <v>55</v>
      </c>
      <c r="D196" s="14" t="s">
        <v>17</v>
      </c>
      <c r="E196" s="9" t="s">
        <v>11</v>
      </c>
      <c r="F196" s="9" t="s">
        <v>14</v>
      </c>
      <c r="G196" s="11">
        <v>1950.0</v>
      </c>
      <c r="H196" s="9">
        <v>3.0</v>
      </c>
      <c r="I196" s="12" t="str">
        <f t="array" ref="I196">_xlfn.XLOOKUP(C196, Clientes!A:A, Clientes!C:C) &amp; ", El Salvador"</f>
        <v>San Salvador, El Salvador</v>
      </c>
      <c r="J196" s="13" t="str">
        <f t="array" ref="J196">_xlfn.XLOOKUP(E196, Tecnicos!A:A, Tecnicos!B:B)</f>
        <v>Carlos Mendoza</v>
      </c>
      <c r="K196" s="13" t="str">
        <f t="array" ref="K196">_xlfn.XLOOKUP(C196, Clientes!A:A, Clientes!B:B)</f>
        <v>Hospital Nacional Rosales</v>
      </c>
      <c r="L196" s="13" t="str">
        <f t="array" ref="L196">_xlfn.XLOOKUP(D196, Equipos!A:A, Equipos!B:B)</f>
        <v>Rayos X</v>
      </c>
      <c r="M196" s="9" t="str">
        <f t="array" ref="M196">_xlfn.XLOOKUP(F196, Tipo_Mtto!A:A, Tipo_Mtto!B:B)</f>
        <v>Preventivo Programado</v>
      </c>
    </row>
    <row r="197" ht="14.25" customHeight="1">
      <c r="A197" s="9" t="s">
        <v>294</v>
      </c>
      <c r="B197" s="10">
        <v>45960.0</v>
      </c>
      <c r="C197" s="9" t="s">
        <v>13</v>
      </c>
      <c r="D197" s="14" t="s">
        <v>63</v>
      </c>
      <c r="E197" s="9" t="s">
        <v>25</v>
      </c>
      <c r="F197" s="9" t="s">
        <v>14</v>
      </c>
      <c r="G197" s="11">
        <v>1645.0</v>
      </c>
      <c r="H197" s="9">
        <v>12.0</v>
      </c>
      <c r="I197" s="12" t="str">
        <f t="array" ref="I197">_xlfn.XLOOKUP(C197, Clientes!A:A, Clientes!C:C) &amp; ", El Salvador"</f>
        <v>Ahuachapán, El Salvador</v>
      </c>
      <c r="J197" s="13" t="str">
        <f t="array" ref="J197">_xlfn.XLOOKUP(E197, Tecnicos!A:A, Tecnicos!B:B)</f>
        <v>Sofía Rodas</v>
      </c>
      <c r="K197" s="13" t="str">
        <f t="array" ref="K197">_xlfn.XLOOKUP(C197, Clientes!A:A, Clientes!B:B)</f>
        <v>Hospital Nacional de Ahuachapán</v>
      </c>
      <c r="L197" s="13" t="str">
        <f t="array" ref="L197">_xlfn.XLOOKUP(D197, Equipos!A:A, Equipos!B:B)</f>
        <v>Monitor</v>
      </c>
      <c r="M197" s="9" t="str">
        <f t="array" ref="M197">_xlfn.XLOOKUP(F197, Tipo_Mtto!A:A, Tipo_Mtto!B:B)</f>
        <v>Preventivo Programado</v>
      </c>
    </row>
    <row r="198" ht="14.25" customHeight="1">
      <c r="A198" s="9" t="s">
        <v>295</v>
      </c>
      <c r="B198" s="10">
        <v>45965.0</v>
      </c>
      <c r="C198" s="9" t="s">
        <v>80</v>
      </c>
      <c r="D198" s="14" t="s">
        <v>71</v>
      </c>
      <c r="E198" s="9" t="s">
        <v>33</v>
      </c>
      <c r="F198" s="9" t="s">
        <v>35</v>
      </c>
      <c r="G198" s="11">
        <v>1586.0</v>
      </c>
      <c r="H198" s="9">
        <v>7.0</v>
      </c>
      <c r="I198" s="12" t="str">
        <f t="array" ref="I198">_xlfn.XLOOKUP(C198, Clientes!A:A, Clientes!C:C) &amp; ", El Salvador"</f>
        <v>San Miguel, El Salvador</v>
      </c>
      <c r="J198" s="13" t="str">
        <f t="array" ref="J198">_xlfn.XLOOKUP(E198, Tecnicos!A:A, Tecnicos!B:B)</f>
        <v>Juan Pérez</v>
      </c>
      <c r="K198" s="13" t="str">
        <f t="array" ref="K198">_xlfn.XLOOKUP(C198, Clientes!A:A, Clientes!B:B)</f>
        <v>Hospital San Juan de Dios</v>
      </c>
      <c r="L198" s="13" t="str">
        <f t="array" ref="L198">_xlfn.XLOOKUP(D198, Equipos!A:A, Equipos!B:B)</f>
        <v>Ventilador</v>
      </c>
      <c r="M198" s="9" t="str">
        <f t="array" ref="M198">_xlfn.XLOOKUP(F198, Tipo_Mtto!A:A, Tipo_Mtto!B:B)</f>
        <v>Instalación</v>
      </c>
    </row>
    <row r="199" ht="14.25" customHeight="1">
      <c r="A199" s="9" t="s">
        <v>296</v>
      </c>
      <c r="B199" s="10">
        <v>45967.0</v>
      </c>
      <c r="C199" s="9" t="s">
        <v>58</v>
      </c>
      <c r="D199" s="14" t="s">
        <v>17</v>
      </c>
      <c r="E199" s="9" t="s">
        <v>45</v>
      </c>
      <c r="F199" s="9" t="s">
        <v>23</v>
      </c>
      <c r="G199" s="11">
        <v>187.0</v>
      </c>
      <c r="H199" s="9">
        <v>12.0</v>
      </c>
      <c r="I199" s="12" t="str">
        <f t="array" ref="I199">_xlfn.XLOOKUP(C199, Clientes!A:A, Clientes!C:C) &amp; ", El Salvador"</f>
        <v>Cuscatlán, El Salvador</v>
      </c>
      <c r="J199" s="13" t="str">
        <f t="array" ref="J199">_xlfn.XLOOKUP(E199, Tecnicos!A:A, Tecnicos!B:B)</f>
        <v>Elena Gómez</v>
      </c>
      <c r="K199" s="13" t="str">
        <f t="array" ref="K199">_xlfn.XLOOKUP(C199, Clientes!A:A, Clientes!B:B)</f>
        <v>Hospital de Cojutepeque</v>
      </c>
      <c r="L199" s="13" t="str">
        <f t="array" ref="L199">_xlfn.XLOOKUP(D199, Equipos!A:A, Equipos!B:B)</f>
        <v>Rayos X</v>
      </c>
      <c r="M199" s="9" t="str">
        <f t="array" ref="M199">_xlfn.XLOOKUP(F199, Tipo_Mtto!A:A, Tipo_Mtto!B:B)</f>
        <v>Correctivo</v>
      </c>
    </row>
    <row r="200" ht="14.25" customHeight="1">
      <c r="A200" s="9" t="s">
        <v>297</v>
      </c>
      <c r="B200" s="10">
        <v>45969.0</v>
      </c>
      <c r="C200" s="9" t="s">
        <v>44</v>
      </c>
      <c r="D200" s="14" t="s">
        <v>87</v>
      </c>
      <c r="E200" s="9" t="s">
        <v>33</v>
      </c>
      <c r="F200" s="9" t="s">
        <v>23</v>
      </c>
      <c r="G200" s="11">
        <v>399.0</v>
      </c>
      <c r="H200" s="9">
        <v>3.0</v>
      </c>
      <c r="I200" s="12" t="str">
        <f t="array" ref="I200">_xlfn.XLOOKUP(C200, Clientes!A:A, Clientes!C:C) &amp; ", El Salvador"</f>
        <v>Chalatenango, El Salvador</v>
      </c>
      <c r="J200" s="13" t="str">
        <f t="array" ref="J200">_xlfn.XLOOKUP(E200, Tecnicos!A:A, Tecnicos!B:B)</f>
        <v>Juan Pérez</v>
      </c>
      <c r="K200" s="13" t="str">
        <f t="array" ref="K200">_xlfn.XLOOKUP(C200, Clientes!A:A, Clientes!B:B)</f>
        <v>Hospital Dr. Luis Edmundo Vásquez</v>
      </c>
      <c r="L200" s="13" t="str">
        <f t="array" ref="L200">_xlfn.XLOOKUP(D200, Equipos!A:A, Equipos!B:B)</f>
        <v>Desfibrilador</v>
      </c>
      <c r="M200" s="9" t="str">
        <f t="array" ref="M200">_xlfn.XLOOKUP(F200, Tipo_Mtto!A:A, Tipo_Mtto!B:B)</f>
        <v>Correctivo</v>
      </c>
    </row>
    <row r="201" ht="14.25" customHeight="1">
      <c r="A201" s="9" t="s">
        <v>298</v>
      </c>
      <c r="B201" s="10">
        <v>45972.0</v>
      </c>
      <c r="C201" s="9" t="s">
        <v>34</v>
      </c>
      <c r="D201" s="14" t="s">
        <v>63</v>
      </c>
      <c r="E201" s="9" t="s">
        <v>11</v>
      </c>
      <c r="F201" s="9" t="s">
        <v>35</v>
      </c>
      <c r="G201" s="11">
        <v>2387.0</v>
      </c>
      <c r="H201" s="9">
        <v>4.0</v>
      </c>
      <c r="I201" s="12" t="str">
        <f t="array" ref="I201">_xlfn.XLOOKUP(C201, Clientes!A:A, Clientes!C:C) &amp; ", El Salvador"</f>
        <v>Sonsonate, El Salvador</v>
      </c>
      <c r="J201" s="13" t="str">
        <f t="array" ref="J201">_xlfn.XLOOKUP(E201, Tecnicos!A:A, Tecnicos!B:B)</f>
        <v>Carlos Mendoza</v>
      </c>
      <c r="K201" s="13" t="str">
        <f t="array" ref="K201">_xlfn.XLOOKUP(C201, Clientes!A:A, Clientes!B:B)</f>
        <v>Hospital Jorge Mazzini</v>
      </c>
      <c r="L201" s="13" t="str">
        <f t="array" ref="L201">_xlfn.XLOOKUP(D201, Equipos!A:A, Equipos!B:B)</f>
        <v>Monitor</v>
      </c>
      <c r="M201" s="9" t="str">
        <f t="array" ref="M201">_xlfn.XLOOKUP(F201, Tipo_Mtto!A:A, Tipo_Mtto!B:B)</f>
        <v>Instalación</v>
      </c>
    </row>
    <row r="202" ht="14.25" customHeight="1">
      <c r="A202" s="9" t="s">
        <v>299</v>
      </c>
      <c r="B202" s="10">
        <v>45976.0</v>
      </c>
      <c r="C202" s="9" t="s">
        <v>13</v>
      </c>
      <c r="D202" s="14" t="s">
        <v>17</v>
      </c>
      <c r="E202" s="9" t="s">
        <v>45</v>
      </c>
      <c r="F202" s="9" t="s">
        <v>14</v>
      </c>
      <c r="G202" s="11">
        <v>1956.0</v>
      </c>
      <c r="H202" s="9">
        <v>1.0</v>
      </c>
      <c r="I202" s="12" t="str">
        <f t="array" ref="I202">_xlfn.XLOOKUP(C202, Clientes!A:A, Clientes!C:C) &amp; ", El Salvador"</f>
        <v>Ahuachapán, El Salvador</v>
      </c>
      <c r="J202" s="13" t="str">
        <f t="array" ref="J202">_xlfn.XLOOKUP(E202, Tecnicos!A:A, Tecnicos!B:B)</f>
        <v>Elena Gómez</v>
      </c>
      <c r="K202" s="13" t="str">
        <f t="array" ref="K202">_xlfn.XLOOKUP(C202, Clientes!A:A, Clientes!B:B)</f>
        <v>Hospital Nacional de Ahuachapán</v>
      </c>
      <c r="L202" s="13" t="str">
        <f t="array" ref="L202">_xlfn.XLOOKUP(D202, Equipos!A:A, Equipos!B:B)</f>
        <v>Rayos X</v>
      </c>
      <c r="M202" s="9" t="str">
        <f t="array" ref="M202">_xlfn.XLOOKUP(F202, Tipo_Mtto!A:A, Tipo_Mtto!B:B)</f>
        <v>Preventivo Programado</v>
      </c>
    </row>
    <row r="203" ht="14.25" customHeight="1">
      <c r="A203" s="9" t="s">
        <v>300</v>
      </c>
      <c r="B203" s="10">
        <v>45977.0</v>
      </c>
      <c r="C203" s="9" t="s">
        <v>75</v>
      </c>
      <c r="D203" s="14" t="s">
        <v>87</v>
      </c>
      <c r="E203" s="9" t="s">
        <v>45</v>
      </c>
      <c r="F203" s="9" t="s">
        <v>35</v>
      </c>
      <c r="G203" s="11">
        <v>2348.0</v>
      </c>
      <c r="H203" s="9">
        <v>3.0</v>
      </c>
      <c r="I203" s="12" t="str">
        <f t="array" ref="I203">_xlfn.XLOOKUP(C203, Clientes!A:A, Clientes!C:C) &amp; ", El Salvador"</f>
        <v>Usulután, El Salvador</v>
      </c>
      <c r="J203" s="13" t="str">
        <f t="array" ref="J203">_xlfn.XLOOKUP(E203, Tecnicos!A:A, Tecnicos!B:B)</f>
        <v>Elena Gómez</v>
      </c>
      <c r="K203" s="13" t="str">
        <f t="array" ref="K203">_xlfn.XLOOKUP(C203, Clientes!A:A, Clientes!B:B)</f>
        <v>Hospital de Usulután</v>
      </c>
      <c r="L203" s="13" t="str">
        <f t="array" ref="L203">_xlfn.XLOOKUP(D203, Equipos!A:A, Equipos!B:B)</f>
        <v>Desfibrilador</v>
      </c>
      <c r="M203" s="9" t="str">
        <f t="array" ref="M203">_xlfn.XLOOKUP(F203, Tipo_Mtto!A:A, Tipo_Mtto!B:B)</f>
        <v>Instalación</v>
      </c>
    </row>
    <row r="204" ht="14.25" customHeight="1">
      <c r="A204" s="9" t="s">
        <v>301</v>
      </c>
      <c r="B204" s="10">
        <v>45982.0</v>
      </c>
      <c r="C204" s="9" t="s">
        <v>24</v>
      </c>
      <c r="D204" s="14" t="s">
        <v>71</v>
      </c>
      <c r="E204" s="9" t="s">
        <v>45</v>
      </c>
      <c r="F204" s="9" t="s">
        <v>23</v>
      </c>
      <c r="G204" s="11">
        <v>1846.0</v>
      </c>
      <c r="H204" s="9">
        <v>5.0</v>
      </c>
      <c r="I204" s="12" t="str">
        <f t="array" ref="I204">_xlfn.XLOOKUP(C204, Clientes!A:A, Clientes!C:C) &amp; ", El Salvador"</f>
        <v>Santa Ana, El Salvador</v>
      </c>
      <c r="J204" s="13" t="str">
        <f t="array" ref="J204">_xlfn.XLOOKUP(E204, Tecnicos!A:A, Tecnicos!B:B)</f>
        <v>Elena Gómez</v>
      </c>
      <c r="K204" s="13" t="str">
        <f t="array" ref="K204">_xlfn.XLOOKUP(C204, Clientes!A:A, Clientes!B:B)</f>
        <v>Hospital San Juan de Dios</v>
      </c>
      <c r="L204" s="13" t="str">
        <f t="array" ref="L204">_xlfn.XLOOKUP(D204, Equipos!A:A, Equipos!B:B)</f>
        <v>Ventilador</v>
      </c>
      <c r="M204" s="9" t="str">
        <f t="array" ref="M204">_xlfn.XLOOKUP(F204, Tipo_Mtto!A:A, Tipo_Mtto!B:B)</f>
        <v>Correctivo</v>
      </c>
    </row>
    <row r="205" ht="14.25" customHeight="1">
      <c r="A205" s="9" t="s">
        <v>302</v>
      </c>
      <c r="B205" s="10">
        <v>45984.0</v>
      </c>
      <c r="C205" s="9" t="s">
        <v>44</v>
      </c>
      <c r="D205" s="14" t="s">
        <v>71</v>
      </c>
      <c r="E205" s="9" t="s">
        <v>11</v>
      </c>
      <c r="F205" s="9" t="s">
        <v>23</v>
      </c>
      <c r="G205" s="11">
        <v>832.0</v>
      </c>
      <c r="H205" s="9">
        <v>9.0</v>
      </c>
      <c r="I205" s="12" t="str">
        <f t="array" ref="I205">_xlfn.XLOOKUP(C205, Clientes!A:A, Clientes!C:C) &amp; ", El Salvador"</f>
        <v>Chalatenango, El Salvador</v>
      </c>
      <c r="J205" s="13" t="str">
        <f t="array" ref="J205">_xlfn.XLOOKUP(E205, Tecnicos!A:A, Tecnicos!B:B)</f>
        <v>Carlos Mendoza</v>
      </c>
      <c r="K205" s="13" t="str">
        <f t="array" ref="K205">_xlfn.XLOOKUP(C205, Clientes!A:A, Clientes!B:B)</f>
        <v>Hospital Dr. Luis Edmundo Vásquez</v>
      </c>
      <c r="L205" s="13" t="str">
        <f t="array" ref="L205">_xlfn.XLOOKUP(D205, Equipos!A:A, Equipos!B:B)</f>
        <v>Ventilador</v>
      </c>
      <c r="M205" s="9" t="str">
        <f t="array" ref="M205">_xlfn.XLOOKUP(F205, Tipo_Mtto!A:A, Tipo_Mtto!B:B)</f>
        <v>Correctivo</v>
      </c>
    </row>
    <row r="206" ht="14.25" customHeight="1">
      <c r="A206" s="9" t="s">
        <v>303</v>
      </c>
      <c r="B206" s="10">
        <v>45989.0</v>
      </c>
      <c r="C206" s="9" t="s">
        <v>65</v>
      </c>
      <c r="D206" s="14" t="s">
        <v>63</v>
      </c>
      <c r="E206" s="9" t="s">
        <v>11</v>
      </c>
      <c r="F206" s="9" t="s">
        <v>23</v>
      </c>
      <c r="G206" s="11">
        <v>2296.0</v>
      </c>
      <c r="H206" s="9">
        <v>7.0</v>
      </c>
      <c r="I206" s="12" t="str">
        <f t="array" ref="I206">_xlfn.XLOOKUP(C206, Clientes!A:A, Clientes!C:C) &amp; ", El Salvador"</f>
        <v>Cabañas, El Salvador</v>
      </c>
      <c r="J206" s="13" t="str">
        <f t="array" ref="J206">_xlfn.XLOOKUP(E206, Tecnicos!A:A, Tecnicos!B:B)</f>
        <v>Carlos Mendoza</v>
      </c>
      <c r="K206" s="13" t="str">
        <f t="array" ref="K206">_xlfn.XLOOKUP(C206, Clientes!A:A, Clientes!B:B)</f>
        <v>Hospital de Sensuntepeque</v>
      </c>
      <c r="L206" s="13" t="str">
        <f t="array" ref="L206">_xlfn.XLOOKUP(D206, Equipos!A:A, Equipos!B:B)</f>
        <v>Monitor</v>
      </c>
      <c r="M206" s="9" t="str">
        <f t="array" ref="M206">_xlfn.XLOOKUP(F206, Tipo_Mtto!A:A, Tipo_Mtto!B:B)</f>
        <v>Correctivo</v>
      </c>
    </row>
    <row r="207" ht="14.25" customHeight="1">
      <c r="A207" s="9" t="s">
        <v>304</v>
      </c>
      <c r="B207" s="10">
        <v>45992.0</v>
      </c>
      <c r="C207" s="9" t="s">
        <v>83</v>
      </c>
      <c r="D207" s="14" t="s">
        <v>17</v>
      </c>
      <c r="E207" s="9" t="s">
        <v>33</v>
      </c>
      <c r="F207" s="9" t="s">
        <v>35</v>
      </c>
      <c r="G207" s="11">
        <v>1950.0</v>
      </c>
      <c r="H207" s="9">
        <v>10.0</v>
      </c>
      <c r="I207" s="12" t="str">
        <f t="array" ref="I207">_xlfn.XLOOKUP(C207, Clientes!A:A, Clientes!C:C) &amp; ", El Salvador"</f>
        <v>Morazán, El Salvador</v>
      </c>
      <c r="J207" s="13" t="str">
        <f t="array" ref="J207">_xlfn.XLOOKUP(E207, Tecnicos!A:A, Tecnicos!B:B)</f>
        <v>Juan Pérez</v>
      </c>
      <c r="K207" s="13" t="str">
        <f t="array" ref="K207">_xlfn.XLOOKUP(C207, Clientes!A:A, Clientes!B:B)</f>
        <v>Hospital de San Francisco Gotera</v>
      </c>
      <c r="L207" s="13" t="str">
        <f t="array" ref="L207">_xlfn.XLOOKUP(D207, Equipos!A:A, Equipos!B:B)</f>
        <v>Rayos X</v>
      </c>
      <c r="M207" s="9" t="str">
        <f t="array" ref="M207">_xlfn.XLOOKUP(F207, Tipo_Mtto!A:A, Tipo_Mtto!B:B)</f>
        <v>Instalación</v>
      </c>
    </row>
    <row r="208" ht="14.25" customHeight="1">
      <c r="A208" s="9" t="s">
        <v>305</v>
      </c>
      <c r="B208" s="10">
        <v>45998.0</v>
      </c>
      <c r="C208" s="9" t="s">
        <v>88</v>
      </c>
      <c r="D208" s="14" t="s">
        <v>17</v>
      </c>
      <c r="E208" s="9" t="s">
        <v>11</v>
      </c>
      <c r="F208" s="9" t="s">
        <v>35</v>
      </c>
      <c r="G208" s="11">
        <v>2073.0</v>
      </c>
      <c r="H208" s="9">
        <v>8.0</v>
      </c>
      <c r="I208" s="12" t="str">
        <f t="array" ref="I208">_xlfn.XLOOKUP(C208, Clientes!A:A, Clientes!C:C) &amp; ", El Salvador"</f>
        <v>La Unión, El Salvador</v>
      </c>
      <c r="J208" s="13" t="str">
        <f t="array" ref="J208">_xlfn.XLOOKUP(E208, Tecnicos!A:A, Tecnicos!B:B)</f>
        <v>Carlos Mendoza</v>
      </c>
      <c r="K208" s="13" t="str">
        <f t="array" ref="K208">_xlfn.XLOOKUP(C208, Clientes!A:A, Clientes!B:B)</f>
        <v>Hospital de La Unión</v>
      </c>
      <c r="L208" s="13" t="str">
        <f t="array" ref="L208">_xlfn.XLOOKUP(D208, Equipos!A:A, Equipos!B:B)</f>
        <v>Rayos X</v>
      </c>
      <c r="M208" s="9" t="str">
        <f t="array" ref="M208">_xlfn.XLOOKUP(F208, Tipo_Mtto!A:A, Tipo_Mtto!B:B)</f>
        <v>Instalación</v>
      </c>
    </row>
    <row r="209" ht="14.25" customHeight="1">
      <c r="A209" s="9" t="s">
        <v>306</v>
      </c>
      <c r="B209" s="10">
        <v>46004.0</v>
      </c>
      <c r="C209" s="9" t="s">
        <v>50</v>
      </c>
      <c r="D209" s="14" t="s">
        <v>17</v>
      </c>
      <c r="E209" s="9" t="s">
        <v>51</v>
      </c>
      <c r="F209" s="9" t="s">
        <v>35</v>
      </c>
      <c r="G209" s="11">
        <v>1534.0</v>
      </c>
      <c r="H209" s="9">
        <v>11.0</v>
      </c>
      <c r="I209" s="12" t="str">
        <f t="array" ref="I209">_xlfn.XLOOKUP(C209, Clientes!A:A, Clientes!C:C) &amp; ", El Salvador"</f>
        <v>La Libertad, El Salvador</v>
      </c>
      <c r="J209" s="13" t="str">
        <f t="array" ref="J209">_xlfn.XLOOKUP(E209, Tecnicos!A:A, Tecnicos!B:B)</f>
        <v>Luis Martínez</v>
      </c>
      <c r="K209" s="13" t="str">
        <f t="array" ref="K209">_xlfn.XLOOKUP(C209, Clientes!A:A, Clientes!B:B)</f>
        <v>Hospital San Rafael</v>
      </c>
      <c r="L209" s="13" t="str">
        <f t="array" ref="L209">_xlfn.XLOOKUP(D209, Equipos!A:A, Equipos!B:B)</f>
        <v>Rayos X</v>
      </c>
      <c r="M209" s="9" t="str">
        <f t="array" ref="M209">_xlfn.XLOOKUP(F209, Tipo_Mtto!A:A, Tipo_Mtto!B:B)</f>
        <v>Instalación</v>
      </c>
    </row>
    <row r="210" ht="14.25" customHeight="1">
      <c r="A210" s="9" t="s">
        <v>307</v>
      </c>
      <c r="B210" s="10">
        <v>46005.0</v>
      </c>
      <c r="C210" s="9" t="s">
        <v>80</v>
      </c>
      <c r="D210" s="14" t="s">
        <v>36</v>
      </c>
      <c r="E210" s="9" t="s">
        <v>11</v>
      </c>
      <c r="F210" s="9" t="s">
        <v>14</v>
      </c>
      <c r="G210" s="11">
        <v>2033.0</v>
      </c>
      <c r="H210" s="9">
        <v>12.0</v>
      </c>
      <c r="I210" s="12" t="str">
        <f t="array" ref="I210">_xlfn.XLOOKUP(C210, Clientes!A:A, Clientes!C:C) &amp; ", El Salvador"</f>
        <v>San Miguel, El Salvador</v>
      </c>
      <c r="J210" s="13" t="str">
        <f t="array" ref="J210">_xlfn.XLOOKUP(E210, Tecnicos!A:A, Tecnicos!B:B)</f>
        <v>Carlos Mendoza</v>
      </c>
      <c r="K210" s="13" t="str">
        <f t="array" ref="K210">_xlfn.XLOOKUP(C210, Clientes!A:A, Clientes!B:B)</f>
        <v>Hospital San Juan de Dios</v>
      </c>
      <c r="L210" s="13" t="str">
        <f t="array" ref="L210">_xlfn.XLOOKUP(D210, Equipos!A:A, Equipos!B:B)</f>
        <v>Ultrasonido</v>
      </c>
      <c r="M210" s="9" t="str">
        <f t="array" ref="M210">_xlfn.XLOOKUP(F210, Tipo_Mtto!A:A, Tipo_Mtto!B:B)</f>
        <v>Preventivo Programado</v>
      </c>
    </row>
    <row r="211" ht="14.25" customHeight="1">
      <c r="A211" s="9" t="s">
        <v>308</v>
      </c>
      <c r="B211" s="10">
        <v>46008.0</v>
      </c>
      <c r="C211" s="9" t="s">
        <v>44</v>
      </c>
      <c r="D211" s="14" t="s">
        <v>71</v>
      </c>
      <c r="E211" s="9" t="s">
        <v>11</v>
      </c>
      <c r="F211" s="9" t="s">
        <v>14</v>
      </c>
      <c r="G211" s="11">
        <v>395.0</v>
      </c>
      <c r="H211" s="9">
        <v>2.0</v>
      </c>
      <c r="I211" s="12" t="str">
        <f t="array" ref="I211">_xlfn.XLOOKUP(C211, Clientes!A:A, Clientes!C:C) &amp; ", El Salvador"</f>
        <v>Chalatenango, El Salvador</v>
      </c>
      <c r="J211" s="13" t="str">
        <f t="array" ref="J211">_xlfn.XLOOKUP(E211, Tecnicos!A:A, Tecnicos!B:B)</f>
        <v>Carlos Mendoza</v>
      </c>
      <c r="K211" s="13" t="str">
        <f t="array" ref="K211">_xlfn.XLOOKUP(C211, Clientes!A:A, Clientes!B:B)</f>
        <v>Hospital Dr. Luis Edmundo Vásquez</v>
      </c>
      <c r="L211" s="13" t="str">
        <f t="array" ref="L211">_xlfn.XLOOKUP(D211, Equipos!A:A, Equipos!B:B)</f>
        <v>Ventilador</v>
      </c>
      <c r="M211" s="9" t="str">
        <f t="array" ref="M211">_xlfn.XLOOKUP(F211, Tipo_Mtto!A:A, Tipo_Mtto!B:B)</f>
        <v>Preventivo Programado</v>
      </c>
    </row>
    <row r="212" ht="14.25" customHeight="1">
      <c r="A212" s="9" t="s">
        <v>309</v>
      </c>
      <c r="B212" s="10">
        <v>46012.0</v>
      </c>
      <c r="C212" s="9" t="s">
        <v>70</v>
      </c>
      <c r="D212" s="14" t="s">
        <v>63</v>
      </c>
      <c r="E212" s="9" t="s">
        <v>45</v>
      </c>
      <c r="F212" s="9" t="s">
        <v>23</v>
      </c>
      <c r="G212" s="11">
        <v>2083.0</v>
      </c>
      <c r="H212" s="9">
        <v>12.0</v>
      </c>
      <c r="I212" s="12" t="str">
        <f t="array" ref="I212">_xlfn.XLOOKUP(C212, Clientes!A:A, Clientes!C:C) &amp; ", El Salvador"</f>
        <v>San Vicente, El Salvador</v>
      </c>
      <c r="J212" s="13" t="str">
        <f t="array" ref="J212">_xlfn.XLOOKUP(E212, Tecnicos!A:A, Tecnicos!B:B)</f>
        <v>Elena Gómez</v>
      </c>
      <c r="K212" s="13" t="str">
        <f t="array" ref="K212">_xlfn.XLOOKUP(C212, Clientes!A:A, Clientes!B:B)</f>
        <v>Hospital Santa Gertrudis</v>
      </c>
      <c r="L212" s="13" t="str">
        <f t="array" ref="L212">_xlfn.XLOOKUP(D212, Equipos!A:A, Equipos!B:B)</f>
        <v>Monitor</v>
      </c>
      <c r="M212" s="9" t="str">
        <f t="array" ref="M212">_xlfn.XLOOKUP(F212, Tipo_Mtto!A:A, Tipo_Mtto!B:B)</f>
        <v>Correctivo</v>
      </c>
    </row>
    <row r="213" ht="14.25" customHeight="1">
      <c r="A213" s="9" t="s">
        <v>310</v>
      </c>
      <c r="B213" s="10">
        <v>46014.0</v>
      </c>
      <c r="C213" s="9" t="s">
        <v>65</v>
      </c>
      <c r="D213" s="14" t="s">
        <v>36</v>
      </c>
      <c r="E213" s="9" t="s">
        <v>33</v>
      </c>
      <c r="F213" s="9" t="s">
        <v>14</v>
      </c>
      <c r="G213" s="11">
        <v>193.0</v>
      </c>
      <c r="H213" s="9">
        <v>11.0</v>
      </c>
      <c r="I213" s="12" t="str">
        <f t="array" ref="I213">_xlfn.XLOOKUP(C213, Clientes!A:A, Clientes!C:C) &amp; ", El Salvador"</f>
        <v>Cabañas, El Salvador</v>
      </c>
      <c r="J213" s="13" t="str">
        <f t="array" ref="J213">_xlfn.XLOOKUP(E213, Tecnicos!A:A, Tecnicos!B:B)</f>
        <v>Juan Pérez</v>
      </c>
      <c r="K213" s="13" t="str">
        <f t="array" ref="K213">_xlfn.XLOOKUP(C213, Clientes!A:A, Clientes!B:B)</f>
        <v>Hospital de Sensuntepeque</v>
      </c>
      <c r="L213" s="13" t="str">
        <f t="array" ref="L213">_xlfn.XLOOKUP(D213, Equipos!A:A, Equipos!B:B)</f>
        <v>Ultrasonido</v>
      </c>
      <c r="M213" s="9" t="str">
        <f t="array" ref="M213">_xlfn.XLOOKUP(F213, Tipo_Mtto!A:A, Tipo_Mtto!B:B)</f>
        <v>Preventivo Programado</v>
      </c>
    </row>
    <row r="214" ht="14.25" customHeight="1">
      <c r="A214" s="9" t="s">
        <v>311</v>
      </c>
      <c r="B214" s="10">
        <v>46016.0</v>
      </c>
      <c r="C214" s="9" t="s">
        <v>61</v>
      </c>
      <c r="D214" s="14" t="s">
        <v>63</v>
      </c>
      <c r="E214" s="9" t="s">
        <v>45</v>
      </c>
      <c r="F214" s="9" t="s">
        <v>23</v>
      </c>
      <c r="G214" s="11">
        <v>1867.0</v>
      </c>
      <c r="H214" s="9">
        <v>6.0</v>
      </c>
      <c r="I214" s="12" t="str">
        <f t="array" ref="I214">_xlfn.XLOOKUP(C214, Clientes!A:A, Clientes!C:C) &amp; ", El Salvador"</f>
        <v>La Paz, El Salvador</v>
      </c>
      <c r="J214" s="13" t="str">
        <f t="array" ref="J214">_xlfn.XLOOKUP(E214, Tecnicos!A:A, Tecnicos!B:B)</f>
        <v>Elena Gómez</v>
      </c>
      <c r="K214" s="13" t="str">
        <f t="array" ref="K214">_xlfn.XLOOKUP(C214, Clientes!A:A, Clientes!B:B)</f>
        <v>Hospital Santa Teresa</v>
      </c>
      <c r="L214" s="13" t="str">
        <f t="array" ref="L214">_xlfn.XLOOKUP(D214, Equipos!A:A, Equipos!B:B)</f>
        <v>Monitor</v>
      </c>
      <c r="M214" s="9" t="str">
        <f t="array" ref="M214">_xlfn.XLOOKUP(F214, Tipo_Mtto!A:A, Tipo_Mtto!B:B)</f>
        <v>Correctivo</v>
      </c>
    </row>
    <row r="215" ht="14.25" customHeight="1">
      <c r="A215" s="9" t="s">
        <v>312</v>
      </c>
      <c r="B215" s="10">
        <v>46021.0</v>
      </c>
      <c r="C215" s="9" t="s">
        <v>34</v>
      </c>
      <c r="D215" s="14" t="s">
        <v>79</v>
      </c>
      <c r="E215" s="9" t="s">
        <v>33</v>
      </c>
      <c r="F215" s="9" t="s">
        <v>14</v>
      </c>
      <c r="G215" s="11">
        <v>398.0</v>
      </c>
      <c r="H215" s="9">
        <v>3.0</v>
      </c>
      <c r="I215" s="12" t="str">
        <f t="array" ref="I215">_xlfn.XLOOKUP(C215, Clientes!A:A, Clientes!C:C) &amp; ", El Salvador"</f>
        <v>Sonsonate, El Salvador</v>
      </c>
      <c r="J215" s="13" t="str">
        <f t="array" ref="J215">_xlfn.XLOOKUP(E215, Tecnicos!A:A, Tecnicos!B:B)</f>
        <v>Juan Pérez</v>
      </c>
      <c r="K215" s="13" t="str">
        <f t="array" ref="K215">_xlfn.XLOOKUP(C215, Clientes!A:A, Clientes!B:B)</f>
        <v>Hospital Jorge Mazzini</v>
      </c>
      <c r="L215" s="13" t="str">
        <f t="array" ref="L215">_xlfn.XLOOKUP(D215, Equipos!A:A, Equipos!B:B)</f>
        <v>Incubadora</v>
      </c>
      <c r="M215" s="9" t="str">
        <f t="array" ref="M215">_xlfn.XLOOKUP(F215, Tipo_Mtto!A:A, Tipo_Mtto!B:B)</f>
        <v>Preventivo Programado</v>
      </c>
    </row>
    <row r="216" ht="14.25" customHeight="1">
      <c r="A216" s="9" t="s">
        <v>313</v>
      </c>
      <c r="B216" s="10">
        <v>46022.0</v>
      </c>
      <c r="C216" s="9" t="s">
        <v>80</v>
      </c>
      <c r="D216" s="14" t="s">
        <v>17</v>
      </c>
      <c r="E216" s="9" t="s">
        <v>33</v>
      </c>
      <c r="F216" s="9" t="s">
        <v>35</v>
      </c>
      <c r="G216" s="11">
        <v>1574.0</v>
      </c>
      <c r="H216" s="9">
        <v>1.0</v>
      </c>
      <c r="I216" s="12" t="str">
        <f t="array" ref="I216">_xlfn.XLOOKUP(C216, Clientes!A:A, Clientes!C:C) &amp; ", El Salvador"</f>
        <v>San Miguel, El Salvador</v>
      </c>
      <c r="J216" s="13" t="str">
        <f t="array" ref="J216">_xlfn.XLOOKUP(E216, Tecnicos!A:A, Tecnicos!B:B)</f>
        <v>Juan Pérez</v>
      </c>
      <c r="K216" s="13" t="str">
        <f t="array" ref="K216">_xlfn.XLOOKUP(C216, Clientes!A:A, Clientes!B:B)</f>
        <v>Hospital San Juan de Dios</v>
      </c>
      <c r="L216" s="13" t="str">
        <f t="array" ref="L216">_xlfn.XLOOKUP(D216, Equipos!A:A, Equipos!B:B)</f>
        <v>Rayos X</v>
      </c>
      <c r="M216" s="9" t="str">
        <f t="array" ref="M216">_xlfn.XLOOKUP(F216, Tipo_Mtto!A:A, Tipo_Mtto!B:B)</f>
        <v>Instalación</v>
      </c>
    </row>
    <row r="217" ht="14.25" customHeight="1">
      <c r="A217" s="9" t="s">
        <v>314</v>
      </c>
      <c r="B217" s="10">
        <v>46028.0</v>
      </c>
      <c r="C217" s="9" t="s">
        <v>13</v>
      </c>
      <c r="D217" s="14" t="s">
        <v>87</v>
      </c>
      <c r="E217" s="9" t="s">
        <v>33</v>
      </c>
      <c r="F217" s="9" t="s">
        <v>23</v>
      </c>
      <c r="G217" s="11">
        <v>2030.0</v>
      </c>
      <c r="H217" s="9">
        <v>10.0</v>
      </c>
      <c r="I217" s="12" t="str">
        <f t="array" ref="I217">_xlfn.XLOOKUP(C217, Clientes!A:A, Clientes!C:C) &amp; ", El Salvador"</f>
        <v>Ahuachapán, El Salvador</v>
      </c>
      <c r="J217" s="13" t="str">
        <f t="array" ref="J217">_xlfn.XLOOKUP(E217, Tecnicos!A:A, Tecnicos!B:B)</f>
        <v>Juan Pérez</v>
      </c>
      <c r="K217" s="13" t="str">
        <f t="array" ref="K217">_xlfn.XLOOKUP(C217, Clientes!A:A, Clientes!B:B)</f>
        <v>Hospital Nacional de Ahuachapán</v>
      </c>
      <c r="L217" s="13" t="str">
        <f t="array" ref="L217">_xlfn.XLOOKUP(D217, Equipos!A:A, Equipos!B:B)</f>
        <v>Desfibrilador</v>
      </c>
      <c r="M217" s="9" t="str">
        <f t="array" ref="M217">_xlfn.XLOOKUP(F217, Tipo_Mtto!A:A, Tipo_Mtto!B:B)</f>
        <v>Correctivo</v>
      </c>
    </row>
    <row r="218" ht="14.25" customHeight="1">
      <c r="A218" s="9" t="s">
        <v>315</v>
      </c>
      <c r="B218" s="10">
        <v>46029.0</v>
      </c>
      <c r="C218" s="9" t="s">
        <v>58</v>
      </c>
      <c r="D218" s="14" t="s">
        <v>71</v>
      </c>
      <c r="E218" s="9" t="s">
        <v>11</v>
      </c>
      <c r="F218" s="9" t="s">
        <v>14</v>
      </c>
      <c r="G218" s="11">
        <v>2307.0</v>
      </c>
      <c r="H218" s="9">
        <v>12.0</v>
      </c>
      <c r="I218" s="12" t="str">
        <f t="array" ref="I218">_xlfn.XLOOKUP(C218, Clientes!A:A, Clientes!C:C) &amp; ", El Salvador"</f>
        <v>Cuscatlán, El Salvador</v>
      </c>
      <c r="J218" s="13" t="str">
        <f t="array" ref="J218">_xlfn.XLOOKUP(E218, Tecnicos!A:A, Tecnicos!B:B)</f>
        <v>Carlos Mendoza</v>
      </c>
      <c r="K218" s="13" t="str">
        <f t="array" ref="K218">_xlfn.XLOOKUP(C218, Clientes!A:A, Clientes!B:B)</f>
        <v>Hospital de Cojutepeque</v>
      </c>
      <c r="L218" s="13" t="str">
        <f t="array" ref="L218">_xlfn.XLOOKUP(D218, Equipos!A:A, Equipos!B:B)</f>
        <v>Ventilador</v>
      </c>
      <c r="M218" s="9" t="str">
        <f t="array" ref="M218">_xlfn.XLOOKUP(F218, Tipo_Mtto!A:A, Tipo_Mtto!B:B)</f>
        <v>Preventivo Programado</v>
      </c>
    </row>
    <row r="219" ht="14.25" customHeight="1">
      <c r="A219" s="9" t="s">
        <v>316</v>
      </c>
      <c r="B219" s="10">
        <v>46031.0</v>
      </c>
      <c r="C219" s="9" t="s">
        <v>24</v>
      </c>
      <c r="D219" s="14" t="s">
        <v>79</v>
      </c>
      <c r="E219" s="9" t="s">
        <v>45</v>
      </c>
      <c r="F219" s="9" t="s">
        <v>14</v>
      </c>
      <c r="G219" s="11">
        <v>1863.0</v>
      </c>
      <c r="H219" s="9">
        <v>7.0</v>
      </c>
      <c r="I219" s="12" t="str">
        <f t="array" ref="I219">_xlfn.XLOOKUP(C219, Clientes!A:A, Clientes!C:C) &amp; ", El Salvador"</f>
        <v>Santa Ana, El Salvador</v>
      </c>
      <c r="J219" s="13" t="str">
        <f t="array" ref="J219">_xlfn.XLOOKUP(E219, Tecnicos!A:A, Tecnicos!B:B)</f>
        <v>Elena Gómez</v>
      </c>
      <c r="K219" s="13" t="str">
        <f t="array" ref="K219">_xlfn.XLOOKUP(C219, Clientes!A:A, Clientes!B:B)</f>
        <v>Hospital San Juan de Dios</v>
      </c>
      <c r="L219" s="13" t="str">
        <f t="array" ref="L219">_xlfn.XLOOKUP(D219, Equipos!A:A, Equipos!B:B)</f>
        <v>Incubadora</v>
      </c>
      <c r="M219" s="9" t="str">
        <f t="array" ref="M219">_xlfn.XLOOKUP(F219, Tipo_Mtto!A:A, Tipo_Mtto!B:B)</f>
        <v>Preventivo Programado</v>
      </c>
    </row>
    <row r="220" ht="14.25" customHeight="1">
      <c r="A220" s="9" t="s">
        <v>317</v>
      </c>
      <c r="B220" s="10">
        <v>46032.0</v>
      </c>
      <c r="C220" s="9" t="s">
        <v>80</v>
      </c>
      <c r="D220" s="14" t="s">
        <v>87</v>
      </c>
      <c r="E220" s="9" t="s">
        <v>33</v>
      </c>
      <c r="F220" s="9" t="s">
        <v>23</v>
      </c>
      <c r="G220" s="11">
        <v>2041.0</v>
      </c>
      <c r="H220" s="9">
        <v>11.0</v>
      </c>
      <c r="I220" s="12" t="str">
        <f t="array" ref="I220">_xlfn.XLOOKUP(C220, Clientes!A:A, Clientes!C:C) &amp; ", El Salvador"</f>
        <v>San Miguel, El Salvador</v>
      </c>
      <c r="J220" s="13" t="str">
        <f t="array" ref="J220">_xlfn.XLOOKUP(E220, Tecnicos!A:A, Tecnicos!B:B)</f>
        <v>Juan Pérez</v>
      </c>
      <c r="K220" s="13" t="str">
        <f t="array" ref="K220">_xlfn.XLOOKUP(C220, Clientes!A:A, Clientes!B:B)</f>
        <v>Hospital San Juan de Dios</v>
      </c>
      <c r="L220" s="13" t="str">
        <f t="array" ref="L220">_xlfn.XLOOKUP(D220, Equipos!A:A, Equipos!B:B)</f>
        <v>Desfibrilador</v>
      </c>
      <c r="M220" s="9" t="str">
        <f t="array" ref="M220">_xlfn.XLOOKUP(F220, Tipo_Mtto!A:A, Tipo_Mtto!B:B)</f>
        <v>Correctivo</v>
      </c>
    </row>
    <row r="221" ht="14.25" customHeight="1">
      <c r="A221" s="9" t="s">
        <v>318</v>
      </c>
      <c r="B221" s="10">
        <v>46033.0</v>
      </c>
      <c r="C221" s="9" t="s">
        <v>44</v>
      </c>
      <c r="D221" s="14" t="s">
        <v>17</v>
      </c>
      <c r="E221" s="9" t="s">
        <v>33</v>
      </c>
      <c r="F221" s="9" t="s">
        <v>14</v>
      </c>
      <c r="G221" s="11">
        <v>1084.0</v>
      </c>
      <c r="H221" s="9">
        <v>9.0</v>
      </c>
      <c r="I221" s="12" t="str">
        <f t="array" ref="I221">_xlfn.XLOOKUP(C221, Clientes!A:A, Clientes!C:C) &amp; ", El Salvador"</f>
        <v>Chalatenango, El Salvador</v>
      </c>
      <c r="J221" s="13" t="str">
        <f t="array" ref="J221">_xlfn.XLOOKUP(E221, Tecnicos!A:A, Tecnicos!B:B)</f>
        <v>Juan Pérez</v>
      </c>
      <c r="K221" s="13" t="str">
        <f t="array" ref="K221">_xlfn.XLOOKUP(C221, Clientes!A:A, Clientes!B:B)</f>
        <v>Hospital Dr. Luis Edmundo Vásquez</v>
      </c>
      <c r="L221" s="13" t="str">
        <f t="array" ref="L221">_xlfn.XLOOKUP(D221, Equipos!A:A, Equipos!B:B)</f>
        <v>Rayos X</v>
      </c>
      <c r="M221" s="9" t="str">
        <f t="array" ref="M221">_xlfn.XLOOKUP(F221, Tipo_Mtto!A:A, Tipo_Mtto!B:B)</f>
        <v>Preventivo Programado</v>
      </c>
    </row>
    <row r="222" ht="14.25" customHeight="1">
      <c r="A222" s="9" t="s">
        <v>319</v>
      </c>
      <c r="B222" s="10">
        <v>46036.0</v>
      </c>
      <c r="C222" s="9" t="s">
        <v>24</v>
      </c>
      <c r="D222" s="14" t="s">
        <v>71</v>
      </c>
      <c r="E222" s="9" t="s">
        <v>51</v>
      </c>
      <c r="F222" s="9" t="s">
        <v>14</v>
      </c>
      <c r="G222" s="11">
        <v>2094.0</v>
      </c>
      <c r="H222" s="9">
        <v>9.0</v>
      </c>
      <c r="I222" s="12" t="str">
        <f t="array" ref="I222">_xlfn.XLOOKUP(C222, Clientes!A:A, Clientes!C:C) &amp; ", El Salvador"</f>
        <v>Santa Ana, El Salvador</v>
      </c>
      <c r="J222" s="13" t="str">
        <f t="array" ref="J222">_xlfn.XLOOKUP(E222, Tecnicos!A:A, Tecnicos!B:B)</f>
        <v>Luis Martínez</v>
      </c>
      <c r="K222" s="13" t="str">
        <f t="array" ref="K222">_xlfn.XLOOKUP(C222, Clientes!A:A, Clientes!B:B)</f>
        <v>Hospital San Juan de Dios</v>
      </c>
      <c r="L222" s="13" t="str">
        <f t="array" ref="L222">_xlfn.XLOOKUP(D222, Equipos!A:A, Equipos!B:B)</f>
        <v>Ventilador</v>
      </c>
      <c r="M222" s="9" t="str">
        <f t="array" ref="M222">_xlfn.XLOOKUP(F222, Tipo_Mtto!A:A, Tipo_Mtto!B:B)</f>
        <v>Preventivo Programado</v>
      </c>
    </row>
    <row r="223" ht="14.25" customHeight="1">
      <c r="A223" s="9" t="s">
        <v>320</v>
      </c>
      <c r="B223" s="10">
        <v>46039.0</v>
      </c>
      <c r="C223" s="9" t="s">
        <v>13</v>
      </c>
      <c r="D223" s="14" t="s">
        <v>79</v>
      </c>
      <c r="E223" s="9" t="s">
        <v>11</v>
      </c>
      <c r="F223" s="9" t="s">
        <v>35</v>
      </c>
      <c r="G223" s="11">
        <v>883.0</v>
      </c>
      <c r="H223" s="9">
        <v>2.0</v>
      </c>
      <c r="I223" s="12" t="str">
        <f t="array" ref="I223">_xlfn.XLOOKUP(C223, Clientes!A:A, Clientes!C:C) &amp; ", El Salvador"</f>
        <v>Ahuachapán, El Salvador</v>
      </c>
      <c r="J223" s="13" t="str">
        <f t="array" ref="J223">_xlfn.XLOOKUP(E223, Tecnicos!A:A, Tecnicos!B:B)</f>
        <v>Carlos Mendoza</v>
      </c>
      <c r="K223" s="13" t="str">
        <f t="array" ref="K223">_xlfn.XLOOKUP(C223, Clientes!A:A, Clientes!B:B)</f>
        <v>Hospital Nacional de Ahuachapán</v>
      </c>
      <c r="L223" s="13" t="str">
        <f t="array" ref="L223">_xlfn.XLOOKUP(D223, Equipos!A:A, Equipos!B:B)</f>
        <v>Incubadora</v>
      </c>
      <c r="M223" s="9" t="str">
        <f t="array" ref="M223">_xlfn.XLOOKUP(F223, Tipo_Mtto!A:A, Tipo_Mtto!B:B)</f>
        <v>Instalación</v>
      </c>
    </row>
    <row r="224" ht="14.25" customHeight="1">
      <c r="A224" s="9" t="s">
        <v>321</v>
      </c>
      <c r="B224" s="10">
        <v>46040.0</v>
      </c>
      <c r="C224" s="9" t="s">
        <v>80</v>
      </c>
      <c r="D224" s="14" t="s">
        <v>79</v>
      </c>
      <c r="E224" s="9" t="s">
        <v>11</v>
      </c>
      <c r="F224" s="9" t="s">
        <v>23</v>
      </c>
      <c r="G224" s="11">
        <v>1224.0</v>
      </c>
      <c r="H224" s="9">
        <v>11.0</v>
      </c>
      <c r="I224" s="12" t="str">
        <f t="array" ref="I224">_xlfn.XLOOKUP(C224, Clientes!A:A, Clientes!C:C) &amp; ", El Salvador"</f>
        <v>San Miguel, El Salvador</v>
      </c>
      <c r="J224" s="13" t="str">
        <f t="array" ref="J224">_xlfn.XLOOKUP(E224, Tecnicos!A:A, Tecnicos!B:B)</f>
        <v>Carlos Mendoza</v>
      </c>
      <c r="K224" s="13" t="str">
        <f t="array" ref="K224">_xlfn.XLOOKUP(C224, Clientes!A:A, Clientes!B:B)</f>
        <v>Hospital San Juan de Dios</v>
      </c>
      <c r="L224" s="13" t="str">
        <f t="array" ref="L224">_xlfn.XLOOKUP(D224, Equipos!A:A, Equipos!B:B)</f>
        <v>Incubadora</v>
      </c>
      <c r="M224" s="9" t="str">
        <f t="array" ref="M224">_xlfn.XLOOKUP(F224, Tipo_Mtto!A:A, Tipo_Mtto!B:B)</f>
        <v>Correctivo</v>
      </c>
    </row>
    <row r="225" ht="14.25" customHeight="1">
      <c r="A225" s="9" t="s">
        <v>322</v>
      </c>
      <c r="B225" s="10">
        <v>46046.0</v>
      </c>
      <c r="C225" s="9" t="s">
        <v>83</v>
      </c>
      <c r="D225" s="14" t="s">
        <v>17</v>
      </c>
      <c r="E225" s="9" t="s">
        <v>51</v>
      </c>
      <c r="F225" s="9" t="s">
        <v>35</v>
      </c>
      <c r="G225" s="11">
        <v>2351.0</v>
      </c>
      <c r="H225" s="9">
        <v>5.0</v>
      </c>
      <c r="I225" s="12" t="str">
        <f t="array" ref="I225">_xlfn.XLOOKUP(C225, Clientes!A:A, Clientes!C:C) &amp; ", El Salvador"</f>
        <v>Morazán, El Salvador</v>
      </c>
      <c r="J225" s="13" t="str">
        <f t="array" ref="J225">_xlfn.XLOOKUP(E225, Tecnicos!A:A, Tecnicos!B:B)</f>
        <v>Luis Martínez</v>
      </c>
      <c r="K225" s="13" t="str">
        <f t="array" ref="K225">_xlfn.XLOOKUP(C225, Clientes!A:A, Clientes!B:B)</f>
        <v>Hospital de San Francisco Gotera</v>
      </c>
      <c r="L225" s="13" t="str">
        <f t="array" ref="L225">_xlfn.XLOOKUP(D225, Equipos!A:A, Equipos!B:B)</f>
        <v>Rayos X</v>
      </c>
      <c r="M225" s="9" t="str">
        <f t="array" ref="M225">_xlfn.XLOOKUP(F225, Tipo_Mtto!A:A, Tipo_Mtto!B:B)</f>
        <v>Instalación</v>
      </c>
    </row>
    <row r="226" ht="14.25" customHeight="1">
      <c r="A226" s="9" t="s">
        <v>323</v>
      </c>
      <c r="B226" s="10">
        <v>46052.0</v>
      </c>
      <c r="C226" s="9" t="s">
        <v>65</v>
      </c>
      <c r="D226" s="14" t="s">
        <v>17</v>
      </c>
      <c r="E226" s="9" t="s">
        <v>51</v>
      </c>
      <c r="F226" s="9" t="s">
        <v>23</v>
      </c>
      <c r="G226" s="11">
        <v>1118.0</v>
      </c>
      <c r="H226" s="9">
        <v>2.0</v>
      </c>
      <c r="I226" s="12" t="str">
        <f t="array" ref="I226">_xlfn.XLOOKUP(C226, Clientes!A:A, Clientes!C:C) &amp; ", El Salvador"</f>
        <v>Cabañas, El Salvador</v>
      </c>
      <c r="J226" s="13" t="str">
        <f t="array" ref="J226">_xlfn.XLOOKUP(E226, Tecnicos!A:A, Tecnicos!B:B)</f>
        <v>Luis Martínez</v>
      </c>
      <c r="K226" s="13" t="str">
        <f t="array" ref="K226">_xlfn.XLOOKUP(C226, Clientes!A:A, Clientes!B:B)</f>
        <v>Hospital de Sensuntepeque</v>
      </c>
      <c r="L226" s="13" t="str">
        <f t="array" ref="L226">_xlfn.XLOOKUP(D226, Equipos!A:A, Equipos!B:B)</f>
        <v>Rayos X</v>
      </c>
      <c r="M226" s="9" t="str">
        <f t="array" ref="M226">_xlfn.XLOOKUP(F226, Tipo_Mtto!A:A, Tipo_Mtto!B:B)</f>
        <v>Correctivo</v>
      </c>
    </row>
    <row r="227" ht="14.25" customHeight="1">
      <c r="A227" s="9" t="s">
        <v>324</v>
      </c>
      <c r="B227" s="10">
        <v>46054.0</v>
      </c>
      <c r="C227" s="9" t="s">
        <v>80</v>
      </c>
      <c r="D227" s="14" t="s">
        <v>79</v>
      </c>
      <c r="E227" s="9" t="s">
        <v>51</v>
      </c>
      <c r="F227" s="9" t="s">
        <v>14</v>
      </c>
      <c r="G227" s="11">
        <v>2396.0</v>
      </c>
      <c r="H227" s="9">
        <v>5.0</v>
      </c>
      <c r="I227" s="12" t="str">
        <f t="array" ref="I227">_xlfn.XLOOKUP(C227, Clientes!A:A, Clientes!C:C) &amp; ", El Salvador"</f>
        <v>San Miguel, El Salvador</v>
      </c>
      <c r="J227" s="13" t="str">
        <f t="array" ref="J227">_xlfn.XLOOKUP(E227, Tecnicos!A:A, Tecnicos!B:B)</f>
        <v>Luis Martínez</v>
      </c>
      <c r="K227" s="13" t="str">
        <f t="array" ref="K227">_xlfn.XLOOKUP(C227, Clientes!A:A, Clientes!B:B)</f>
        <v>Hospital San Juan de Dios</v>
      </c>
      <c r="L227" s="13" t="str">
        <f t="array" ref="L227">_xlfn.XLOOKUP(D227, Equipos!A:A, Equipos!B:B)</f>
        <v>Incubadora</v>
      </c>
      <c r="M227" s="9" t="str">
        <f t="array" ref="M227">_xlfn.XLOOKUP(F227, Tipo_Mtto!A:A, Tipo_Mtto!B:B)</f>
        <v>Preventivo Programado</v>
      </c>
    </row>
    <row r="228" ht="14.25" customHeight="1">
      <c r="A228" s="9" t="s">
        <v>325</v>
      </c>
      <c r="B228" s="10">
        <v>46058.0</v>
      </c>
      <c r="C228" s="9" t="s">
        <v>55</v>
      </c>
      <c r="D228" s="14" t="s">
        <v>87</v>
      </c>
      <c r="E228" s="9" t="s">
        <v>11</v>
      </c>
      <c r="F228" s="9" t="s">
        <v>23</v>
      </c>
      <c r="G228" s="11">
        <v>2361.0</v>
      </c>
      <c r="H228" s="9">
        <v>5.0</v>
      </c>
      <c r="I228" s="12" t="str">
        <f t="array" ref="I228">_xlfn.XLOOKUP(C228, Clientes!A:A, Clientes!C:C) &amp; ", El Salvador"</f>
        <v>San Salvador, El Salvador</v>
      </c>
      <c r="J228" s="13" t="str">
        <f t="array" ref="J228">_xlfn.XLOOKUP(E228, Tecnicos!A:A, Tecnicos!B:B)</f>
        <v>Carlos Mendoza</v>
      </c>
      <c r="K228" s="13" t="str">
        <f t="array" ref="K228">_xlfn.XLOOKUP(C228, Clientes!A:A, Clientes!B:B)</f>
        <v>Hospital Nacional Rosales</v>
      </c>
      <c r="L228" s="13" t="str">
        <f t="array" ref="L228">_xlfn.XLOOKUP(D228, Equipos!A:A, Equipos!B:B)</f>
        <v>Desfibrilador</v>
      </c>
      <c r="M228" s="9" t="str">
        <f t="array" ref="M228">_xlfn.XLOOKUP(F228, Tipo_Mtto!A:A, Tipo_Mtto!B:B)</f>
        <v>Correctivo</v>
      </c>
    </row>
    <row r="229" ht="14.25" customHeight="1">
      <c r="A229" s="9" t="s">
        <v>326</v>
      </c>
      <c r="B229" s="10">
        <v>46059.0</v>
      </c>
      <c r="C229" s="9" t="s">
        <v>61</v>
      </c>
      <c r="D229" s="14" t="s">
        <v>87</v>
      </c>
      <c r="E229" s="9" t="s">
        <v>11</v>
      </c>
      <c r="F229" s="9" t="s">
        <v>23</v>
      </c>
      <c r="G229" s="11">
        <v>783.0</v>
      </c>
      <c r="H229" s="9">
        <v>4.0</v>
      </c>
      <c r="I229" s="12" t="str">
        <f t="array" ref="I229">_xlfn.XLOOKUP(C229, Clientes!A:A, Clientes!C:C) &amp; ", El Salvador"</f>
        <v>La Paz, El Salvador</v>
      </c>
      <c r="J229" s="13" t="str">
        <f t="array" ref="J229">_xlfn.XLOOKUP(E229, Tecnicos!A:A, Tecnicos!B:B)</f>
        <v>Carlos Mendoza</v>
      </c>
      <c r="K229" s="13" t="str">
        <f t="array" ref="K229">_xlfn.XLOOKUP(C229, Clientes!A:A, Clientes!B:B)</f>
        <v>Hospital Santa Teresa</v>
      </c>
      <c r="L229" s="13" t="str">
        <f t="array" ref="L229">_xlfn.XLOOKUP(D229, Equipos!A:A, Equipos!B:B)</f>
        <v>Desfibrilador</v>
      </c>
      <c r="M229" s="9" t="str">
        <f t="array" ref="M229">_xlfn.XLOOKUP(F229, Tipo_Mtto!A:A, Tipo_Mtto!B:B)</f>
        <v>Correctivo</v>
      </c>
    </row>
    <row r="230" ht="14.25" customHeight="1">
      <c r="A230" s="9" t="s">
        <v>327</v>
      </c>
      <c r="B230" s="10">
        <v>46061.0</v>
      </c>
      <c r="C230" s="9" t="s">
        <v>65</v>
      </c>
      <c r="D230" s="14" t="s">
        <v>63</v>
      </c>
      <c r="E230" s="9" t="s">
        <v>51</v>
      </c>
      <c r="F230" s="9" t="s">
        <v>14</v>
      </c>
      <c r="G230" s="11">
        <v>1319.0</v>
      </c>
      <c r="H230" s="9">
        <v>12.0</v>
      </c>
      <c r="I230" s="12" t="str">
        <f t="array" ref="I230">_xlfn.XLOOKUP(C230, Clientes!A:A, Clientes!C:C) &amp; ", El Salvador"</f>
        <v>Cabañas, El Salvador</v>
      </c>
      <c r="J230" s="13" t="str">
        <f t="array" ref="J230">_xlfn.XLOOKUP(E230, Tecnicos!A:A, Tecnicos!B:B)</f>
        <v>Luis Martínez</v>
      </c>
      <c r="K230" s="13" t="str">
        <f t="array" ref="K230">_xlfn.XLOOKUP(C230, Clientes!A:A, Clientes!B:B)</f>
        <v>Hospital de Sensuntepeque</v>
      </c>
      <c r="L230" s="13" t="str">
        <f t="array" ref="L230">_xlfn.XLOOKUP(D230, Equipos!A:A, Equipos!B:B)</f>
        <v>Monitor</v>
      </c>
      <c r="M230" s="9" t="str">
        <f t="array" ref="M230">_xlfn.XLOOKUP(F230, Tipo_Mtto!A:A, Tipo_Mtto!B:B)</f>
        <v>Preventivo Programado</v>
      </c>
    </row>
    <row r="231" ht="14.25" customHeight="1">
      <c r="A231" s="9" t="s">
        <v>328</v>
      </c>
      <c r="B231" s="10">
        <v>46067.0</v>
      </c>
      <c r="C231" s="9" t="s">
        <v>65</v>
      </c>
      <c r="D231" s="14" t="s">
        <v>71</v>
      </c>
      <c r="E231" s="9" t="s">
        <v>25</v>
      </c>
      <c r="F231" s="9" t="s">
        <v>23</v>
      </c>
      <c r="G231" s="11">
        <v>909.0</v>
      </c>
      <c r="H231" s="9">
        <v>8.0</v>
      </c>
      <c r="I231" s="12" t="str">
        <f t="array" ref="I231">_xlfn.XLOOKUP(C231, Clientes!A:A, Clientes!C:C) &amp; ", El Salvador"</f>
        <v>Cabañas, El Salvador</v>
      </c>
      <c r="J231" s="13" t="str">
        <f t="array" ref="J231">_xlfn.XLOOKUP(E231, Tecnicos!A:A, Tecnicos!B:B)</f>
        <v>Sofía Rodas</v>
      </c>
      <c r="K231" s="13" t="str">
        <f t="array" ref="K231">_xlfn.XLOOKUP(C231, Clientes!A:A, Clientes!B:B)</f>
        <v>Hospital de Sensuntepeque</v>
      </c>
      <c r="L231" s="13" t="str">
        <f t="array" ref="L231">_xlfn.XLOOKUP(D231, Equipos!A:A, Equipos!B:B)</f>
        <v>Ventilador</v>
      </c>
      <c r="M231" s="9" t="str">
        <f t="array" ref="M231">_xlfn.XLOOKUP(F231, Tipo_Mtto!A:A, Tipo_Mtto!B:B)</f>
        <v>Correctivo</v>
      </c>
    </row>
    <row r="232" ht="14.25" customHeight="1">
      <c r="A232" s="9" t="s">
        <v>329</v>
      </c>
      <c r="B232" s="10">
        <v>46069.0</v>
      </c>
      <c r="C232" s="9" t="s">
        <v>44</v>
      </c>
      <c r="D232" s="14" t="s">
        <v>36</v>
      </c>
      <c r="E232" s="9" t="s">
        <v>25</v>
      </c>
      <c r="F232" s="9" t="s">
        <v>35</v>
      </c>
      <c r="G232" s="11">
        <v>758.0</v>
      </c>
      <c r="H232" s="9">
        <v>9.0</v>
      </c>
      <c r="I232" s="12" t="str">
        <f t="array" ref="I232">_xlfn.XLOOKUP(C232, Clientes!A:A, Clientes!C:C) &amp; ", El Salvador"</f>
        <v>Chalatenango, El Salvador</v>
      </c>
      <c r="J232" s="13" t="str">
        <f t="array" ref="J232">_xlfn.XLOOKUP(E232, Tecnicos!A:A, Tecnicos!B:B)</f>
        <v>Sofía Rodas</v>
      </c>
      <c r="K232" s="13" t="str">
        <f t="array" ref="K232">_xlfn.XLOOKUP(C232, Clientes!A:A, Clientes!B:B)</f>
        <v>Hospital Dr. Luis Edmundo Vásquez</v>
      </c>
      <c r="L232" s="13" t="str">
        <f t="array" ref="L232">_xlfn.XLOOKUP(D232, Equipos!A:A, Equipos!B:B)</f>
        <v>Ultrasonido</v>
      </c>
      <c r="M232" s="9" t="str">
        <f t="array" ref="M232">_xlfn.XLOOKUP(F232, Tipo_Mtto!A:A, Tipo_Mtto!B:B)</f>
        <v>Instalación</v>
      </c>
    </row>
    <row r="233" ht="14.25" customHeight="1">
      <c r="A233" s="9" t="s">
        <v>330</v>
      </c>
      <c r="B233" s="10">
        <v>46075.0</v>
      </c>
      <c r="C233" s="9" t="s">
        <v>88</v>
      </c>
      <c r="D233" s="14" t="s">
        <v>71</v>
      </c>
      <c r="E233" s="9" t="s">
        <v>45</v>
      </c>
      <c r="F233" s="9" t="s">
        <v>35</v>
      </c>
      <c r="G233" s="11">
        <v>604.0</v>
      </c>
      <c r="H233" s="9">
        <v>12.0</v>
      </c>
      <c r="I233" s="12" t="str">
        <f t="array" ref="I233">_xlfn.XLOOKUP(C233, Clientes!A:A, Clientes!C:C) &amp; ", El Salvador"</f>
        <v>La Unión, El Salvador</v>
      </c>
      <c r="J233" s="13" t="str">
        <f t="array" ref="J233">_xlfn.XLOOKUP(E233, Tecnicos!A:A, Tecnicos!B:B)</f>
        <v>Elena Gómez</v>
      </c>
      <c r="K233" s="13" t="str">
        <f t="array" ref="K233">_xlfn.XLOOKUP(C233, Clientes!A:A, Clientes!B:B)</f>
        <v>Hospital de La Unión</v>
      </c>
      <c r="L233" s="13" t="str">
        <f t="array" ref="L233">_xlfn.XLOOKUP(D233, Equipos!A:A, Equipos!B:B)</f>
        <v>Ventilador</v>
      </c>
      <c r="M233" s="9" t="str">
        <f t="array" ref="M233">_xlfn.XLOOKUP(F233, Tipo_Mtto!A:A, Tipo_Mtto!B:B)</f>
        <v>Instalación</v>
      </c>
    </row>
    <row r="234" ht="14.25" customHeight="1">
      <c r="A234" s="9" t="s">
        <v>331</v>
      </c>
      <c r="B234" s="10">
        <v>46081.0</v>
      </c>
      <c r="C234" s="9" t="s">
        <v>88</v>
      </c>
      <c r="D234" s="14" t="s">
        <v>63</v>
      </c>
      <c r="E234" s="9" t="s">
        <v>25</v>
      </c>
      <c r="F234" s="9" t="s">
        <v>35</v>
      </c>
      <c r="G234" s="11">
        <v>2322.0</v>
      </c>
      <c r="H234" s="9">
        <v>10.0</v>
      </c>
      <c r="I234" s="12" t="str">
        <f t="array" ref="I234">_xlfn.XLOOKUP(C234, Clientes!A:A, Clientes!C:C) &amp; ", El Salvador"</f>
        <v>La Unión, El Salvador</v>
      </c>
      <c r="J234" s="13" t="str">
        <f t="array" ref="J234">_xlfn.XLOOKUP(E234, Tecnicos!A:A, Tecnicos!B:B)</f>
        <v>Sofía Rodas</v>
      </c>
      <c r="K234" s="13" t="str">
        <f t="array" ref="K234">_xlfn.XLOOKUP(C234, Clientes!A:A, Clientes!B:B)</f>
        <v>Hospital de La Unión</v>
      </c>
      <c r="L234" s="13" t="str">
        <f t="array" ref="L234">_xlfn.XLOOKUP(D234, Equipos!A:A, Equipos!B:B)</f>
        <v>Monitor</v>
      </c>
      <c r="M234" s="9" t="str">
        <f t="array" ref="M234">_xlfn.XLOOKUP(F234, Tipo_Mtto!A:A, Tipo_Mtto!B:B)</f>
        <v>Instalación</v>
      </c>
    </row>
    <row r="235" ht="14.25" customHeight="1">
      <c r="A235" s="9" t="s">
        <v>332</v>
      </c>
      <c r="B235" s="10">
        <v>46082.0</v>
      </c>
      <c r="C235" s="9" t="s">
        <v>55</v>
      </c>
      <c r="D235" s="14" t="s">
        <v>17</v>
      </c>
      <c r="E235" s="9" t="s">
        <v>51</v>
      </c>
      <c r="F235" s="9" t="s">
        <v>35</v>
      </c>
      <c r="G235" s="11">
        <v>2131.0</v>
      </c>
      <c r="H235" s="9">
        <v>1.0</v>
      </c>
      <c r="I235" s="12" t="str">
        <f t="array" ref="I235">_xlfn.XLOOKUP(C235, Clientes!A:A, Clientes!C:C) &amp; ", El Salvador"</f>
        <v>San Salvador, El Salvador</v>
      </c>
      <c r="J235" s="13" t="str">
        <f t="array" ref="J235">_xlfn.XLOOKUP(E235, Tecnicos!A:A, Tecnicos!B:B)</f>
        <v>Luis Martínez</v>
      </c>
      <c r="K235" s="13" t="str">
        <f t="array" ref="K235">_xlfn.XLOOKUP(C235, Clientes!A:A, Clientes!B:B)</f>
        <v>Hospital Nacional Rosales</v>
      </c>
      <c r="L235" s="13" t="str">
        <f t="array" ref="L235">_xlfn.XLOOKUP(D235, Equipos!A:A, Equipos!B:B)</f>
        <v>Rayos X</v>
      </c>
      <c r="M235" s="9" t="str">
        <f t="array" ref="M235">_xlfn.XLOOKUP(F235, Tipo_Mtto!A:A, Tipo_Mtto!B:B)</f>
        <v>Instalación</v>
      </c>
    </row>
    <row r="236" ht="14.25" customHeight="1">
      <c r="A236" s="9" t="s">
        <v>333</v>
      </c>
      <c r="B236" s="10">
        <v>46083.0</v>
      </c>
      <c r="C236" s="9" t="s">
        <v>61</v>
      </c>
      <c r="D236" s="14" t="s">
        <v>79</v>
      </c>
      <c r="E236" s="9" t="s">
        <v>25</v>
      </c>
      <c r="F236" s="9" t="s">
        <v>14</v>
      </c>
      <c r="G236" s="11">
        <v>1762.0</v>
      </c>
      <c r="H236" s="9">
        <v>4.0</v>
      </c>
      <c r="I236" s="12" t="str">
        <f t="array" ref="I236">_xlfn.XLOOKUP(C236, Clientes!A:A, Clientes!C:C) &amp; ", El Salvador"</f>
        <v>La Paz, El Salvador</v>
      </c>
      <c r="J236" s="13" t="str">
        <f t="array" ref="J236">_xlfn.XLOOKUP(E236, Tecnicos!A:A, Tecnicos!B:B)</f>
        <v>Sofía Rodas</v>
      </c>
      <c r="K236" s="13" t="str">
        <f t="array" ref="K236">_xlfn.XLOOKUP(C236, Clientes!A:A, Clientes!B:B)</f>
        <v>Hospital Santa Teresa</v>
      </c>
      <c r="L236" s="13" t="str">
        <f t="array" ref="L236">_xlfn.XLOOKUP(D236, Equipos!A:A, Equipos!B:B)</f>
        <v>Incubadora</v>
      </c>
      <c r="M236" s="9" t="str">
        <f t="array" ref="M236">_xlfn.XLOOKUP(F236, Tipo_Mtto!A:A, Tipo_Mtto!B:B)</f>
        <v>Preventivo Programado</v>
      </c>
    </row>
    <row r="237" ht="14.25" customHeight="1">
      <c r="A237" s="9" t="s">
        <v>334</v>
      </c>
      <c r="B237" s="10">
        <v>46088.0</v>
      </c>
      <c r="C237" s="9" t="s">
        <v>44</v>
      </c>
      <c r="D237" s="14" t="s">
        <v>17</v>
      </c>
      <c r="E237" s="9" t="s">
        <v>33</v>
      </c>
      <c r="F237" s="9" t="s">
        <v>35</v>
      </c>
      <c r="G237" s="11">
        <v>167.0</v>
      </c>
      <c r="H237" s="9">
        <v>9.0</v>
      </c>
      <c r="I237" s="12" t="str">
        <f t="array" ref="I237">_xlfn.XLOOKUP(C237, Clientes!A:A, Clientes!C:C) &amp; ", El Salvador"</f>
        <v>Chalatenango, El Salvador</v>
      </c>
      <c r="J237" s="13" t="str">
        <f t="array" ref="J237">_xlfn.XLOOKUP(E237, Tecnicos!A:A, Tecnicos!B:B)</f>
        <v>Juan Pérez</v>
      </c>
      <c r="K237" s="13" t="str">
        <f t="array" ref="K237">_xlfn.XLOOKUP(C237, Clientes!A:A, Clientes!B:B)</f>
        <v>Hospital Dr. Luis Edmundo Vásquez</v>
      </c>
      <c r="L237" s="13" t="str">
        <f t="array" ref="L237">_xlfn.XLOOKUP(D237, Equipos!A:A, Equipos!B:B)</f>
        <v>Rayos X</v>
      </c>
      <c r="M237" s="9" t="str">
        <f t="array" ref="M237">_xlfn.XLOOKUP(F237, Tipo_Mtto!A:A, Tipo_Mtto!B:B)</f>
        <v>Instalación</v>
      </c>
    </row>
    <row r="238" ht="14.25" customHeight="1">
      <c r="A238" s="9" t="s">
        <v>335</v>
      </c>
      <c r="B238" s="10">
        <v>46091.0</v>
      </c>
      <c r="C238" s="9" t="s">
        <v>58</v>
      </c>
      <c r="D238" s="14" t="s">
        <v>63</v>
      </c>
      <c r="E238" s="9" t="s">
        <v>45</v>
      </c>
      <c r="F238" s="9" t="s">
        <v>14</v>
      </c>
      <c r="G238" s="11">
        <v>2472.0</v>
      </c>
      <c r="H238" s="9">
        <v>4.0</v>
      </c>
      <c r="I238" s="12" t="str">
        <f t="array" ref="I238">_xlfn.XLOOKUP(C238, Clientes!A:A, Clientes!C:C) &amp; ", El Salvador"</f>
        <v>Cuscatlán, El Salvador</v>
      </c>
      <c r="J238" s="13" t="str">
        <f t="array" ref="J238">_xlfn.XLOOKUP(E238, Tecnicos!A:A, Tecnicos!B:B)</f>
        <v>Elena Gómez</v>
      </c>
      <c r="K238" s="13" t="str">
        <f t="array" ref="K238">_xlfn.XLOOKUP(C238, Clientes!A:A, Clientes!B:B)</f>
        <v>Hospital de Cojutepeque</v>
      </c>
      <c r="L238" s="13" t="str">
        <f t="array" ref="L238">_xlfn.XLOOKUP(D238, Equipos!A:A, Equipos!B:B)</f>
        <v>Monitor</v>
      </c>
      <c r="M238" s="9" t="str">
        <f t="array" ref="M238">_xlfn.XLOOKUP(F238, Tipo_Mtto!A:A, Tipo_Mtto!B:B)</f>
        <v>Preventivo Programado</v>
      </c>
    </row>
    <row r="239" ht="14.25" customHeight="1">
      <c r="A239" s="9" t="s">
        <v>336</v>
      </c>
      <c r="B239" s="10">
        <v>46094.0</v>
      </c>
      <c r="C239" s="9" t="s">
        <v>80</v>
      </c>
      <c r="D239" s="14" t="s">
        <v>87</v>
      </c>
      <c r="E239" s="9" t="s">
        <v>25</v>
      </c>
      <c r="F239" s="9" t="s">
        <v>14</v>
      </c>
      <c r="G239" s="11">
        <v>241.0</v>
      </c>
      <c r="H239" s="9">
        <v>5.0</v>
      </c>
      <c r="I239" s="12" t="str">
        <f t="array" ref="I239">_xlfn.XLOOKUP(C239, Clientes!A:A, Clientes!C:C) &amp; ", El Salvador"</f>
        <v>San Miguel, El Salvador</v>
      </c>
      <c r="J239" s="13" t="str">
        <f t="array" ref="J239">_xlfn.XLOOKUP(E239, Tecnicos!A:A, Tecnicos!B:B)</f>
        <v>Sofía Rodas</v>
      </c>
      <c r="K239" s="13" t="str">
        <f t="array" ref="K239">_xlfn.XLOOKUP(C239, Clientes!A:A, Clientes!B:B)</f>
        <v>Hospital San Juan de Dios</v>
      </c>
      <c r="L239" s="13" t="str">
        <f t="array" ref="L239">_xlfn.XLOOKUP(D239, Equipos!A:A, Equipos!B:B)</f>
        <v>Desfibrilador</v>
      </c>
      <c r="M239" s="9" t="str">
        <f t="array" ref="M239">_xlfn.XLOOKUP(F239, Tipo_Mtto!A:A, Tipo_Mtto!B:B)</f>
        <v>Preventivo Programado</v>
      </c>
    </row>
    <row r="240" ht="14.25" customHeight="1">
      <c r="A240" s="9" t="s">
        <v>337</v>
      </c>
      <c r="B240" s="10">
        <v>46096.0</v>
      </c>
      <c r="C240" s="9" t="s">
        <v>55</v>
      </c>
      <c r="D240" s="14" t="s">
        <v>71</v>
      </c>
      <c r="E240" s="9" t="s">
        <v>51</v>
      </c>
      <c r="F240" s="9" t="s">
        <v>14</v>
      </c>
      <c r="G240" s="11">
        <v>1781.0</v>
      </c>
      <c r="H240" s="9">
        <v>7.0</v>
      </c>
      <c r="I240" s="12" t="str">
        <f t="array" ref="I240">_xlfn.XLOOKUP(C240, Clientes!A:A, Clientes!C:C) &amp; ", El Salvador"</f>
        <v>San Salvador, El Salvador</v>
      </c>
      <c r="J240" s="13" t="str">
        <f t="array" ref="J240">_xlfn.XLOOKUP(E240, Tecnicos!A:A, Tecnicos!B:B)</f>
        <v>Luis Martínez</v>
      </c>
      <c r="K240" s="13" t="str">
        <f t="array" ref="K240">_xlfn.XLOOKUP(C240, Clientes!A:A, Clientes!B:B)</f>
        <v>Hospital Nacional Rosales</v>
      </c>
      <c r="L240" s="13" t="str">
        <f t="array" ref="L240">_xlfn.XLOOKUP(D240, Equipos!A:A, Equipos!B:B)</f>
        <v>Ventilador</v>
      </c>
      <c r="M240" s="9" t="str">
        <f t="array" ref="M240">_xlfn.XLOOKUP(F240, Tipo_Mtto!A:A, Tipo_Mtto!B:B)</f>
        <v>Preventivo Programado</v>
      </c>
    </row>
    <row r="241" ht="14.25" customHeight="1">
      <c r="A241" s="9" t="s">
        <v>338</v>
      </c>
      <c r="B241" s="10">
        <v>46098.0</v>
      </c>
      <c r="C241" s="9" t="s">
        <v>88</v>
      </c>
      <c r="D241" s="14" t="s">
        <v>71</v>
      </c>
      <c r="E241" s="9" t="s">
        <v>33</v>
      </c>
      <c r="F241" s="9" t="s">
        <v>23</v>
      </c>
      <c r="G241" s="11">
        <v>2195.0</v>
      </c>
      <c r="H241" s="9">
        <v>6.0</v>
      </c>
      <c r="I241" s="12" t="str">
        <f t="array" ref="I241">_xlfn.XLOOKUP(C241, Clientes!A:A, Clientes!C:C) &amp; ", El Salvador"</f>
        <v>La Unión, El Salvador</v>
      </c>
      <c r="J241" s="13" t="str">
        <f t="array" ref="J241">_xlfn.XLOOKUP(E241, Tecnicos!A:A, Tecnicos!B:B)</f>
        <v>Juan Pérez</v>
      </c>
      <c r="K241" s="13" t="str">
        <f t="array" ref="K241">_xlfn.XLOOKUP(C241, Clientes!A:A, Clientes!B:B)</f>
        <v>Hospital de La Unión</v>
      </c>
      <c r="L241" s="13" t="str">
        <f t="array" ref="L241">_xlfn.XLOOKUP(D241, Equipos!A:A, Equipos!B:B)</f>
        <v>Ventilador</v>
      </c>
      <c r="M241" s="9" t="str">
        <f t="array" ref="M241">_xlfn.XLOOKUP(F241, Tipo_Mtto!A:A, Tipo_Mtto!B:B)</f>
        <v>Correctivo</v>
      </c>
    </row>
    <row r="242" ht="14.25" customHeight="1">
      <c r="A242" s="9" t="s">
        <v>339</v>
      </c>
      <c r="B242" s="10">
        <v>46102.0</v>
      </c>
      <c r="C242" s="9" t="s">
        <v>55</v>
      </c>
      <c r="D242" s="14" t="s">
        <v>71</v>
      </c>
      <c r="E242" s="9" t="s">
        <v>33</v>
      </c>
      <c r="F242" s="9" t="s">
        <v>35</v>
      </c>
      <c r="G242" s="11">
        <v>2315.0</v>
      </c>
      <c r="H242" s="9">
        <v>4.0</v>
      </c>
      <c r="I242" s="12" t="str">
        <f t="array" ref="I242">_xlfn.XLOOKUP(C242, Clientes!A:A, Clientes!C:C) &amp; ", El Salvador"</f>
        <v>San Salvador, El Salvador</v>
      </c>
      <c r="J242" s="13" t="str">
        <f t="array" ref="J242">_xlfn.XLOOKUP(E242, Tecnicos!A:A, Tecnicos!B:B)</f>
        <v>Juan Pérez</v>
      </c>
      <c r="K242" s="13" t="str">
        <f t="array" ref="K242">_xlfn.XLOOKUP(C242, Clientes!A:A, Clientes!B:B)</f>
        <v>Hospital Nacional Rosales</v>
      </c>
      <c r="L242" s="13" t="str">
        <f t="array" ref="L242">_xlfn.XLOOKUP(D242, Equipos!A:A, Equipos!B:B)</f>
        <v>Ventilador</v>
      </c>
      <c r="M242" s="9" t="str">
        <f t="array" ref="M242">_xlfn.XLOOKUP(F242, Tipo_Mtto!A:A, Tipo_Mtto!B:B)</f>
        <v>Instalación</v>
      </c>
    </row>
    <row r="243" ht="14.25" customHeight="1">
      <c r="A243" s="9" t="s">
        <v>340</v>
      </c>
      <c r="B243" s="10">
        <v>46105.0</v>
      </c>
      <c r="C243" s="9" t="s">
        <v>13</v>
      </c>
      <c r="D243" s="14" t="s">
        <v>87</v>
      </c>
      <c r="E243" s="9" t="s">
        <v>11</v>
      </c>
      <c r="F243" s="9" t="s">
        <v>14</v>
      </c>
      <c r="G243" s="11">
        <v>1606.0</v>
      </c>
      <c r="H243" s="9">
        <v>4.0</v>
      </c>
      <c r="I243" s="12" t="str">
        <f t="array" ref="I243">_xlfn.XLOOKUP(C243, Clientes!A:A, Clientes!C:C) &amp; ", El Salvador"</f>
        <v>Ahuachapán, El Salvador</v>
      </c>
      <c r="J243" s="13" t="str">
        <f t="array" ref="J243">_xlfn.XLOOKUP(E243, Tecnicos!A:A, Tecnicos!B:B)</f>
        <v>Carlos Mendoza</v>
      </c>
      <c r="K243" s="13" t="str">
        <f t="array" ref="K243">_xlfn.XLOOKUP(C243, Clientes!A:A, Clientes!B:B)</f>
        <v>Hospital Nacional de Ahuachapán</v>
      </c>
      <c r="L243" s="13" t="str">
        <f t="array" ref="L243">_xlfn.XLOOKUP(D243, Equipos!A:A, Equipos!B:B)</f>
        <v>Desfibrilador</v>
      </c>
      <c r="M243" s="9" t="str">
        <f t="array" ref="M243">_xlfn.XLOOKUP(F243, Tipo_Mtto!A:A, Tipo_Mtto!B:B)</f>
        <v>Preventivo Programado</v>
      </c>
    </row>
    <row r="244" ht="14.25" customHeight="1">
      <c r="A244" s="9" t="s">
        <v>341</v>
      </c>
      <c r="B244" s="10">
        <v>46109.0</v>
      </c>
      <c r="C244" s="9" t="s">
        <v>55</v>
      </c>
      <c r="D244" s="14" t="s">
        <v>36</v>
      </c>
      <c r="E244" s="9" t="s">
        <v>11</v>
      </c>
      <c r="F244" s="9" t="s">
        <v>35</v>
      </c>
      <c r="G244" s="11">
        <v>457.0</v>
      </c>
      <c r="H244" s="9">
        <v>3.0</v>
      </c>
      <c r="I244" s="12" t="str">
        <f t="array" ref="I244">_xlfn.XLOOKUP(C244, Clientes!A:A, Clientes!C:C) &amp; ", El Salvador"</f>
        <v>San Salvador, El Salvador</v>
      </c>
      <c r="J244" s="13" t="str">
        <f t="array" ref="J244">_xlfn.XLOOKUP(E244, Tecnicos!A:A, Tecnicos!B:B)</f>
        <v>Carlos Mendoza</v>
      </c>
      <c r="K244" s="13" t="str">
        <f t="array" ref="K244">_xlfn.XLOOKUP(C244, Clientes!A:A, Clientes!B:B)</f>
        <v>Hospital Nacional Rosales</v>
      </c>
      <c r="L244" s="13" t="str">
        <f t="array" ref="L244">_xlfn.XLOOKUP(D244, Equipos!A:A, Equipos!B:B)</f>
        <v>Ultrasonido</v>
      </c>
      <c r="M244" s="9" t="str">
        <f t="array" ref="M244">_xlfn.XLOOKUP(F244, Tipo_Mtto!A:A, Tipo_Mtto!B:B)</f>
        <v>Instalación</v>
      </c>
    </row>
    <row r="245" ht="14.25" customHeight="1">
      <c r="A245" s="9" t="s">
        <v>342</v>
      </c>
      <c r="B245" s="10">
        <v>46115.0</v>
      </c>
      <c r="C245" s="9" t="s">
        <v>70</v>
      </c>
      <c r="D245" s="14" t="s">
        <v>87</v>
      </c>
      <c r="E245" s="9" t="s">
        <v>25</v>
      </c>
      <c r="F245" s="9" t="s">
        <v>23</v>
      </c>
      <c r="G245" s="11">
        <v>1521.0</v>
      </c>
      <c r="H245" s="9">
        <v>7.0</v>
      </c>
      <c r="I245" s="12" t="str">
        <f t="array" ref="I245">_xlfn.XLOOKUP(C245, Clientes!A:A, Clientes!C:C) &amp; ", El Salvador"</f>
        <v>San Vicente, El Salvador</v>
      </c>
      <c r="J245" s="13" t="str">
        <f t="array" ref="J245">_xlfn.XLOOKUP(E245, Tecnicos!A:A, Tecnicos!B:B)</f>
        <v>Sofía Rodas</v>
      </c>
      <c r="K245" s="13" t="str">
        <f t="array" ref="K245">_xlfn.XLOOKUP(C245, Clientes!A:A, Clientes!B:B)</f>
        <v>Hospital Santa Gertrudis</v>
      </c>
      <c r="L245" s="13" t="str">
        <f t="array" ref="L245">_xlfn.XLOOKUP(D245, Equipos!A:A, Equipos!B:B)</f>
        <v>Desfibrilador</v>
      </c>
      <c r="M245" s="9" t="str">
        <f t="array" ref="M245">_xlfn.XLOOKUP(F245, Tipo_Mtto!A:A, Tipo_Mtto!B:B)</f>
        <v>Correctivo</v>
      </c>
    </row>
    <row r="246" ht="14.25" customHeight="1">
      <c r="A246" s="9" t="s">
        <v>343</v>
      </c>
      <c r="B246" s="10">
        <v>46118.0</v>
      </c>
      <c r="C246" s="9" t="s">
        <v>70</v>
      </c>
      <c r="D246" s="14" t="s">
        <v>87</v>
      </c>
      <c r="E246" s="9" t="s">
        <v>11</v>
      </c>
      <c r="F246" s="9" t="s">
        <v>14</v>
      </c>
      <c r="G246" s="11">
        <v>939.0</v>
      </c>
      <c r="H246" s="9">
        <v>11.0</v>
      </c>
      <c r="I246" s="12" t="str">
        <f t="array" ref="I246">_xlfn.XLOOKUP(C246, Clientes!A:A, Clientes!C:C) &amp; ", El Salvador"</f>
        <v>San Vicente, El Salvador</v>
      </c>
      <c r="J246" s="13" t="str">
        <f t="array" ref="J246">_xlfn.XLOOKUP(E246, Tecnicos!A:A, Tecnicos!B:B)</f>
        <v>Carlos Mendoza</v>
      </c>
      <c r="K246" s="13" t="str">
        <f t="array" ref="K246">_xlfn.XLOOKUP(C246, Clientes!A:A, Clientes!B:B)</f>
        <v>Hospital Santa Gertrudis</v>
      </c>
      <c r="L246" s="13" t="str">
        <f t="array" ref="L246">_xlfn.XLOOKUP(D246, Equipos!A:A, Equipos!B:B)</f>
        <v>Desfibrilador</v>
      </c>
      <c r="M246" s="9" t="str">
        <f t="array" ref="M246">_xlfn.XLOOKUP(F246, Tipo_Mtto!A:A, Tipo_Mtto!B:B)</f>
        <v>Preventivo Programado</v>
      </c>
    </row>
    <row r="247" ht="14.25" customHeight="1">
      <c r="A247" s="9" t="s">
        <v>344</v>
      </c>
      <c r="B247" s="10">
        <v>46120.0</v>
      </c>
      <c r="C247" s="9" t="s">
        <v>65</v>
      </c>
      <c r="D247" s="14" t="s">
        <v>87</v>
      </c>
      <c r="E247" s="9" t="s">
        <v>51</v>
      </c>
      <c r="F247" s="9" t="s">
        <v>14</v>
      </c>
      <c r="G247" s="11">
        <v>1702.0</v>
      </c>
      <c r="H247" s="9">
        <v>12.0</v>
      </c>
      <c r="I247" s="12" t="str">
        <f t="array" ref="I247">_xlfn.XLOOKUP(C247, Clientes!A:A, Clientes!C:C) &amp; ", El Salvador"</f>
        <v>Cabañas, El Salvador</v>
      </c>
      <c r="J247" s="13" t="str">
        <f t="array" ref="J247">_xlfn.XLOOKUP(E247, Tecnicos!A:A, Tecnicos!B:B)</f>
        <v>Luis Martínez</v>
      </c>
      <c r="K247" s="13" t="str">
        <f t="array" ref="K247">_xlfn.XLOOKUP(C247, Clientes!A:A, Clientes!B:B)</f>
        <v>Hospital de Sensuntepeque</v>
      </c>
      <c r="L247" s="13" t="str">
        <f t="array" ref="L247">_xlfn.XLOOKUP(D247, Equipos!A:A, Equipos!B:B)</f>
        <v>Desfibrilador</v>
      </c>
      <c r="M247" s="9" t="str">
        <f t="array" ref="M247">_xlfn.XLOOKUP(F247, Tipo_Mtto!A:A, Tipo_Mtto!B:B)</f>
        <v>Preventivo Programado</v>
      </c>
    </row>
    <row r="248" ht="14.25" customHeight="1">
      <c r="A248" s="9" t="s">
        <v>345</v>
      </c>
      <c r="B248" s="10">
        <v>46124.0</v>
      </c>
      <c r="C248" s="9" t="s">
        <v>83</v>
      </c>
      <c r="D248" s="14" t="s">
        <v>36</v>
      </c>
      <c r="E248" s="9" t="s">
        <v>33</v>
      </c>
      <c r="F248" s="9" t="s">
        <v>14</v>
      </c>
      <c r="G248" s="11">
        <v>2476.0</v>
      </c>
      <c r="H248" s="9">
        <v>5.0</v>
      </c>
      <c r="I248" s="12" t="str">
        <f t="array" ref="I248">_xlfn.XLOOKUP(C248, Clientes!A:A, Clientes!C:C) &amp; ", El Salvador"</f>
        <v>Morazán, El Salvador</v>
      </c>
      <c r="J248" s="13" t="str">
        <f t="array" ref="J248">_xlfn.XLOOKUP(E248, Tecnicos!A:A, Tecnicos!B:B)</f>
        <v>Juan Pérez</v>
      </c>
      <c r="K248" s="13" t="str">
        <f t="array" ref="K248">_xlfn.XLOOKUP(C248, Clientes!A:A, Clientes!B:B)</f>
        <v>Hospital de San Francisco Gotera</v>
      </c>
      <c r="L248" s="13" t="str">
        <f t="array" ref="L248">_xlfn.XLOOKUP(D248, Equipos!A:A, Equipos!B:B)</f>
        <v>Ultrasonido</v>
      </c>
      <c r="M248" s="9" t="str">
        <f t="array" ref="M248">_xlfn.XLOOKUP(F248, Tipo_Mtto!A:A, Tipo_Mtto!B:B)</f>
        <v>Preventivo Programado</v>
      </c>
    </row>
    <row r="249" ht="14.25" customHeight="1">
      <c r="A249" s="9" t="s">
        <v>346</v>
      </c>
      <c r="B249" s="10">
        <v>46128.0</v>
      </c>
      <c r="C249" s="9" t="s">
        <v>70</v>
      </c>
      <c r="D249" s="14" t="s">
        <v>71</v>
      </c>
      <c r="E249" s="9" t="s">
        <v>33</v>
      </c>
      <c r="F249" s="9" t="s">
        <v>14</v>
      </c>
      <c r="G249" s="11">
        <v>1787.0</v>
      </c>
      <c r="H249" s="9">
        <v>8.0</v>
      </c>
      <c r="I249" s="12" t="str">
        <f t="array" ref="I249">_xlfn.XLOOKUP(C249, Clientes!A:A, Clientes!C:C) &amp; ", El Salvador"</f>
        <v>San Vicente, El Salvador</v>
      </c>
      <c r="J249" s="13" t="str">
        <f t="array" ref="J249">_xlfn.XLOOKUP(E249, Tecnicos!A:A, Tecnicos!B:B)</f>
        <v>Juan Pérez</v>
      </c>
      <c r="K249" s="13" t="str">
        <f t="array" ref="K249">_xlfn.XLOOKUP(C249, Clientes!A:A, Clientes!B:B)</f>
        <v>Hospital Santa Gertrudis</v>
      </c>
      <c r="L249" s="13" t="str">
        <f t="array" ref="L249">_xlfn.XLOOKUP(D249, Equipos!A:A, Equipos!B:B)</f>
        <v>Ventilador</v>
      </c>
      <c r="M249" s="9" t="str">
        <f t="array" ref="M249">_xlfn.XLOOKUP(F249, Tipo_Mtto!A:A, Tipo_Mtto!B:B)</f>
        <v>Preventivo Programado</v>
      </c>
    </row>
    <row r="250" ht="14.25" customHeight="1">
      <c r="A250" s="9" t="s">
        <v>347</v>
      </c>
      <c r="B250" s="10">
        <v>46129.0</v>
      </c>
      <c r="C250" s="9" t="s">
        <v>34</v>
      </c>
      <c r="D250" s="14" t="s">
        <v>87</v>
      </c>
      <c r="E250" s="9" t="s">
        <v>45</v>
      </c>
      <c r="F250" s="9" t="s">
        <v>35</v>
      </c>
      <c r="G250" s="11">
        <v>1354.0</v>
      </c>
      <c r="H250" s="9">
        <v>11.0</v>
      </c>
      <c r="I250" s="12" t="str">
        <f t="array" ref="I250">_xlfn.XLOOKUP(C250, Clientes!A:A, Clientes!C:C) &amp; ", El Salvador"</f>
        <v>Sonsonate, El Salvador</v>
      </c>
      <c r="J250" s="13" t="str">
        <f t="array" ref="J250">_xlfn.XLOOKUP(E250, Tecnicos!A:A, Tecnicos!B:B)</f>
        <v>Elena Gómez</v>
      </c>
      <c r="K250" s="13" t="str">
        <f t="array" ref="K250">_xlfn.XLOOKUP(C250, Clientes!A:A, Clientes!B:B)</f>
        <v>Hospital Jorge Mazzini</v>
      </c>
      <c r="L250" s="13" t="str">
        <f t="array" ref="L250">_xlfn.XLOOKUP(D250, Equipos!A:A, Equipos!B:B)</f>
        <v>Desfibrilador</v>
      </c>
      <c r="M250" s="9" t="str">
        <f t="array" ref="M250">_xlfn.XLOOKUP(F250, Tipo_Mtto!A:A, Tipo_Mtto!B:B)</f>
        <v>Instalación</v>
      </c>
    </row>
    <row r="251" ht="14.25" customHeight="1">
      <c r="A251" s="9" t="s">
        <v>348</v>
      </c>
      <c r="B251" s="10">
        <v>46131.0</v>
      </c>
      <c r="C251" s="9" t="s">
        <v>75</v>
      </c>
      <c r="D251" s="14" t="s">
        <v>63</v>
      </c>
      <c r="E251" s="9" t="s">
        <v>25</v>
      </c>
      <c r="F251" s="9" t="s">
        <v>14</v>
      </c>
      <c r="G251" s="11">
        <v>1156.0</v>
      </c>
      <c r="H251" s="9">
        <v>4.0</v>
      </c>
      <c r="I251" s="12" t="str">
        <f t="array" ref="I251">_xlfn.XLOOKUP(C251, Clientes!A:A, Clientes!C:C) &amp; ", El Salvador"</f>
        <v>Usulután, El Salvador</v>
      </c>
      <c r="J251" s="13" t="str">
        <f t="array" ref="J251">_xlfn.XLOOKUP(E251, Tecnicos!A:A, Tecnicos!B:B)</f>
        <v>Sofía Rodas</v>
      </c>
      <c r="K251" s="13" t="str">
        <f t="array" ref="K251">_xlfn.XLOOKUP(C251, Clientes!A:A, Clientes!B:B)</f>
        <v>Hospital de Usulután</v>
      </c>
      <c r="L251" s="13" t="str">
        <f t="array" ref="L251">_xlfn.XLOOKUP(D251, Equipos!A:A, Equipos!B:B)</f>
        <v>Monitor</v>
      </c>
      <c r="M251" s="9" t="str">
        <f t="array" ref="M251">_xlfn.XLOOKUP(F251, Tipo_Mtto!A:A, Tipo_Mtto!B:B)</f>
        <v>Preventivo Programado</v>
      </c>
    </row>
    <row r="252" ht="14.25" customHeight="1">
      <c r="A252" s="9" t="s">
        <v>349</v>
      </c>
      <c r="B252" s="10">
        <v>46134.0</v>
      </c>
      <c r="C252" s="9" t="s">
        <v>80</v>
      </c>
      <c r="D252" s="14" t="s">
        <v>79</v>
      </c>
      <c r="E252" s="9" t="s">
        <v>11</v>
      </c>
      <c r="F252" s="9" t="s">
        <v>35</v>
      </c>
      <c r="G252" s="11">
        <v>1785.0</v>
      </c>
      <c r="H252" s="9">
        <v>1.0</v>
      </c>
      <c r="I252" s="12" t="str">
        <f t="array" ref="I252">_xlfn.XLOOKUP(C252, Clientes!A:A, Clientes!C:C) &amp; ", El Salvador"</f>
        <v>San Miguel, El Salvador</v>
      </c>
      <c r="J252" s="13" t="str">
        <f t="array" ref="J252">_xlfn.XLOOKUP(E252, Tecnicos!A:A, Tecnicos!B:B)</f>
        <v>Carlos Mendoza</v>
      </c>
      <c r="K252" s="13" t="str">
        <f t="array" ref="K252">_xlfn.XLOOKUP(C252, Clientes!A:A, Clientes!B:B)</f>
        <v>Hospital San Juan de Dios</v>
      </c>
      <c r="L252" s="13" t="str">
        <f t="array" ref="L252">_xlfn.XLOOKUP(D252, Equipos!A:A, Equipos!B:B)</f>
        <v>Incubadora</v>
      </c>
      <c r="M252" s="9" t="str">
        <f t="array" ref="M252">_xlfn.XLOOKUP(F252, Tipo_Mtto!A:A, Tipo_Mtto!B:B)</f>
        <v>Instalación</v>
      </c>
    </row>
    <row r="253" ht="14.25" customHeight="1">
      <c r="A253" s="9" t="s">
        <v>350</v>
      </c>
      <c r="B253" s="10">
        <v>46139.0</v>
      </c>
      <c r="C253" s="9" t="s">
        <v>70</v>
      </c>
      <c r="D253" s="14" t="s">
        <v>36</v>
      </c>
      <c r="E253" s="9" t="s">
        <v>51</v>
      </c>
      <c r="F253" s="9" t="s">
        <v>35</v>
      </c>
      <c r="G253" s="11">
        <v>1779.0</v>
      </c>
      <c r="H253" s="9">
        <v>11.0</v>
      </c>
      <c r="I253" s="12" t="str">
        <f t="array" ref="I253">_xlfn.XLOOKUP(C253, Clientes!A:A, Clientes!C:C) &amp; ", El Salvador"</f>
        <v>San Vicente, El Salvador</v>
      </c>
      <c r="J253" s="13" t="str">
        <f t="array" ref="J253">_xlfn.XLOOKUP(E253, Tecnicos!A:A, Tecnicos!B:B)</f>
        <v>Luis Martínez</v>
      </c>
      <c r="K253" s="13" t="str">
        <f t="array" ref="K253">_xlfn.XLOOKUP(C253, Clientes!A:A, Clientes!B:B)</f>
        <v>Hospital Santa Gertrudis</v>
      </c>
      <c r="L253" s="13" t="str">
        <f t="array" ref="L253">_xlfn.XLOOKUP(D253, Equipos!A:A, Equipos!B:B)</f>
        <v>Ultrasonido</v>
      </c>
      <c r="M253" s="9" t="str">
        <f t="array" ref="M253">_xlfn.XLOOKUP(F253, Tipo_Mtto!A:A, Tipo_Mtto!B:B)</f>
        <v>Instalación</v>
      </c>
    </row>
    <row r="254" ht="14.25" customHeight="1">
      <c r="A254" s="9" t="s">
        <v>351</v>
      </c>
      <c r="B254" s="10">
        <v>46142.0</v>
      </c>
      <c r="C254" s="9" t="s">
        <v>83</v>
      </c>
      <c r="D254" s="14" t="s">
        <v>87</v>
      </c>
      <c r="E254" s="9" t="s">
        <v>25</v>
      </c>
      <c r="F254" s="9" t="s">
        <v>35</v>
      </c>
      <c r="G254" s="11">
        <v>565.0</v>
      </c>
      <c r="H254" s="9">
        <v>11.0</v>
      </c>
      <c r="I254" s="12" t="str">
        <f t="array" ref="I254">_xlfn.XLOOKUP(C254, Clientes!A:A, Clientes!C:C) &amp; ", El Salvador"</f>
        <v>Morazán, El Salvador</v>
      </c>
      <c r="J254" s="13" t="str">
        <f t="array" ref="J254">_xlfn.XLOOKUP(E254, Tecnicos!A:A, Tecnicos!B:B)</f>
        <v>Sofía Rodas</v>
      </c>
      <c r="K254" s="13" t="str">
        <f t="array" ref="K254">_xlfn.XLOOKUP(C254, Clientes!A:A, Clientes!B:B)</f>
        <v>Hospital de San Francisco Gotera</v>
      </c>
      <c r="L254" s="13" t="str">
        <f t="array" ref="L254">_xlfn.XLOOKUP(D254, Equipos!A:A, Equipos!B:B)</f>
        <v>Desfibrilador</v>
      </c>
      <c r="M254" s="9" t="str">
        <f t="array" ref="M254">_xlfn.XLOOKUP(F254, Tipo_Mtto!A:A, Tipo_Mtto!B:B)</f>
        <v>Instalación</v>
      </c>
    </row>
    <row r="255" ht="14.25" customHeight="1">
      <c r="A255" s="9" t="s">
        <v>352</v>
      </c>
      <c r="B255" s="10">
        <v>46147.0</v>
      </c>
      <c r="C255" s="9" t="s">
        <v>83</v>
      </c>
      <c r="D255" s="14" t="s">
        <v>87</v>
      </c>
      <c r="E255" s="9" t="s">
        <v>33</v>
      </c>
      <c r="F255" s="9" t="s">
        <v>23</v>
      </c>
      <c r="G255" s="11">
        <v>1366.0</v>
      </c>
      <c r="H255" s="9">
        <v>2.0</v>
      </c>
      <c r="I255" s="12" t="str">
        <f t="array" ref="I255">_xlfn.XLOOKUP(C255, Clientes!A:A, Clientes!C:C) &amp; ", El Salvador"</f>
        <v>Morazán, El Salvador</v>
      </c>
      <c r="J255" s="13" t="str">
        <f t="array" ref="J255">_xlfn.XLOOKUP(E255, Tecnicos!A:A, Tecnicos!B:B)</f>
        <v>Juan Pérez</v>
      </c>
      <c r="K255" s="13" t="str">
        <f t="array" ref="K255">_xlfn.XLOOKUP(C255, Clientes!A:A, Clientes!B:B)</f>
        <v>Hospital de San Francisco Gotera</v>
      </c>
      <c r="L255" s="13" t="str">
        <f t="array" ref="L255">_xlfn.XLOOKUP(D255, Equipos!A:A, Equipos!B:B)</f>
        <v>Desfibrilador</v>
      </c>
      <c r="M255" s="9" t="str">
        <f t="array" ref="M255">_xlfn.XLOOKUP(F255, Tipo_Mtto!A:A, Tipo_Mtto!B:B)</f>
        <v>Correctivo</v>
      </c>
    </row>
    <row r="256" ht="14.25" customHeight="1">
      <c r="A256" s="9" t="s">
        <v>353</v>
      </c>
      <c r="B256" s="10">
        <v>46150.0</v>
      </c>
      <c r="C256" s="9" t="s">
        <v>55</v>
      </c>
      <c r="D256" s="14" t="s">
        <v>87</v>
      </c>
      <c r="E256" s="9" t="s">
        <v>45</v>
      </c>
      <c r="F256" s="9" t="s">
        <v>23</v>
      </c>
      <c r="G256" s="11">
        <v>2431.0</v>
      </c>
      <c r="H256" s="9">
        <v>5.0</v>
      </c>
      <c r="I256" s="12" t="str">
        <f t="array" ref="I256">_xlfn.XLOOKUP(C256, Clientes!A:A, Clientes!C:C) &amp; ", El Salvador"</f>
        <v>San Salvador, El Salvador</v>
      </c>
      <c r="J256" s="13" t="str">
        <f t="array" ref="J256">_xlfn.XLOOKUP(E256, Tecnicos!A:A, Tecnicos!B:B)</f>
        <v>Elena Gómez</v>
      </c>
      <c r="K256" s="13" t="str">
        <f t="array" ref="K256">_xlfn.XLOOKUP(C256, Clientes!A:A, Clientes!B:B)</f>
        <v>Hospital Nacional Rosales</v>
      </c>
      <c r="L256" s="13" t="str">
        <f t="array" ref="L256">_xlfn.XLOOKUP(D256, Equipos!A:A, Equipos!B:B)</f>
        <v>Desfibrilador</v>
      </c>
      <c r="M256" s="9" t="str">
        <f t="array" ref="M256">_xlfn.XLOOKUP(F256, Tipo_Mtto!A:A, Tipo_Mtto!B:B)</f>
        <v>Correctivo</v>
      </c>
    </row>
    <row r="257" ht="14.25" customHeight="1">
      <c r="A257" s="9" t="s">
        <v>354</v>
      </c>
      <c r="B257" s="10">
        <v>46153.0</v>
      </c>
      <c r="C257" s="9" t="s">
        <v>61</v>
      </c>
      <c r="D257" s="14" t="s">
        <v>71</v>
      </c>
      <c r="E257" s="9" t="s">
        <v>51</v>
      </c>
      <c r="F257" s="9" t="s">
        <v>23</v>
      </c>
      <c r="G257" s="11">
        <v>1756.0</v>
      </c>
      <c r="H257" s="9">
        <v>11.0</v>
      </c>
      <c r="I257" s="12" t="str">
        <f t="array" ref="I257">_xlfn.XLOOKUP(C257, Clientes!A:A, Clientes!C:C) &amp; ", El Salvador"</f>
        <v>La Paz, El Salvador</v>
      </c>
      <c r="J257" s="13" t="str">
        <f t="array" ref="J257">_xlfn.XLOOKUP(E257, Tecnicos!A:A, Tecnicos!B:B)</f>
        <v>Luis Martínez</v>
      </c>
      <c r="K257" s="13" t="str">
        <f t="array" ref="K257">_xlfn.XLOOKUP(C257, Clientes!A:A, Clientes!B:B)</f>
        <v>Hospital Santa Teresa</v>
      </c>
      <c r="L257" s="13" t="str">
        <f t="array" ref="L257">_xlfn.XLOOKUP(D257, Equipos!A:A, Equipos!B:B)</f>
        <v>Ventilador</v>
      </c>
      <c r="M257" s="9" t="str">
        <f t="array" ref="M257">_xlfn.XLOOKUP(F257, Tipo_Mtto!A:A, Tipo_Mtto!B:B)</f>
        <v>Correctivo</v>
      </c>
    </row>
    <row r="258" ht="14.25" customHeight="1">
      <c r="A258" s="9" t="s">
        <v>355</v>
      </c>
      <c r="B258" s="10">
        <v>46155.0</v>
      </c>
      <c r="C258" s="9" t="s">
        <v>65</v>
      </c>
      <c r="D258" s="14" t="s">
        <v>63</v>
      </c>
      <c r="E258" s="9" t="s">
        <v>11</v>
      </c>
      <c r="F258" s="9" t="s">
        <v>35</v>
      </c>
      <c r="G258" s="11">
        <v>2372.0</v>
      </c>
      <c r="H258" s="9">
        <v>3.0</v>
      </c>
      <c r="I258" s="12" t="str">
        <f t="array" ref="I258">_xlfn.XLOOKUP(C258, Clientes!A:A, Clientes!C:C) &amp; ", El Salvador"</f>
        <v>Cabañas, El Salvador</v>
      </c>
      <c r="J258" s="13" t="str">
        <f t="array" ref="J258">_xlfn.XLOOKUP(E258, Tecnicos!A:A, Tecnicos!B:B)</f>
        <v>Carlos Mendoza</v>
      </c>
      <c r="K258" s="13" t="str">
        <f t="array" ref="K258">_xlfn.XLOOKUP(C258, Clientes!A:A, Clientes!B:B)</f>
        <v>Hospital de Sensuntepeque</v>
      </c>
      <c r="L258" s="13" t="str">
        <f t="array" ref="L258">_xlfn.XLOOKUP(D258, Equipos!A:A, Equipos!B:B)</f>
        <v>Monitor</v>
      </c>
      <c r="M258" s="9" t="str">
        <f t="array" ref="M258">_xlfn.XLOOKUP(F258, Tipo_Mtto!A:A, Tipo_Mtto!B:B)</f>
        <v>Instalación</v>
      </c>
    </row>
    <row r="259" ht="14.25" customHeight="1">
      <c r="A259" s="9" t="s">
        <v>356</v>
      </c>
      <c r="B259" s="10">
        <v>46161.0</v>
      </c>
      <c r="C259" s="9" t="s">
        <v>50</v>
      </c>
      <c r="D259" s="14" t="s">
        <v>79</v>
      </c>
      <c r="E259" s="9" t="s">
        <v>11</v>
      </c>
      <c r="F259" s="9" t="s">
        <v>35</v>
      </c>
      <c r="G259" s="11">
        <v>1011.0</v>
      </c>
      <c r="H259" s="9">
        <v>12.0</v>
      </c>
      <c r="I259" s="12" t="str">
        <f t="array" ref="I259">_xlfn.XLOOKUP(C259, Clientes!A:A, Clientes!C:C) &amp; ", El Salvador"</f>
        <v>La Libertad, El Salvador</v>
      </c>
      <c r="J259" s="13" t="str">
        <f t="array" ref="J259">_xlfn.XLOOKUP(E259, Tecnicos!A:A, Tecnicos!B:B)</f>
        <v>Carlos Mendoza</v>
      </c>
      <c r="K259" s="13" t="str">
        <f t="array" ref="K259">_xlfn.XLOOKUP(C259, Clientes!A:A, Clientes!B:B)</f>
        <v>Hospital San Rafael</v>
      </c>
      <c r="L259" s="13" t="str">
        <f t="array" ref="L259">_xlfn.XLOOKUP(D259, Equipos!A:A, Equipos!B:B)</f>
        <v>Incubadora</v>
      </c>
      <c r="M259" s="9" t="str">
        <f t="array" ref="M259">_xlfn.XLOOKUP(F259, Tipo_Mtto!A:A, Tipo_Mtto!B:B)</f>
        <v>Instalación</v>
      </c>
    </row>
    <row r="260" ht="14.25" customHeight="1">
      <c r="A260" s="9" t="s">
        <v>357</v>
      </c>
      <c r="B260" s="10">
        <v>46165.0</v>
      </c>
      <c r="C260" s="9" t="s">
        <v>70</v>
      </c>
      <c r="D260" s="14" t="s">
        <v>36</v>
      </c>
      <c r="E260" s="9" t="s">
        <v>45</v>
      </c>
      <c r="F260" s="9" t="s">
        <v>14</v>
      </c>
      <c r="G260" s="11">
        <v>1133.0</v>
      </c>
      <c r="H260" s="9">
        <v>3.0</v>
      </c>
      <c r="I260" s="12" t="str">
        <f t="array" ref="I260">_xlfn.XLOOKUP(C260, Clientes!A:A, Clientes!C:C) &amp; ", El Salvador"</f>
        <v>San Vicente, El Salvador</v>
      </c>
      <c r="J260" s="13" t="str">
        <f t="array" ref="J260">_xlfn.XLOOKUP(E260, Tecnicos!A:A, Tecnicos!B:B)</f>
        <v>Elena Gómez</v>
      </c>
      <c r="K260" s="13" t="str">
        <f t="array" ref="K260">_xlfn.XLOOKUP(C260, Clientes!A:A, Clientes!B:B)</f>
        <v>Hospital Santa Gertrudis</v>
      </c>
      <c r="L260" s="13" t="str">
        <f t="array" ref="L260">_xlfn.XLOOKUP(D260, Equipos!A:A, Equipos!B:B)</f>
        <v>Ultrasonido</v>
      </c>
      <c r="M260" s="9" t="str">
        <f t="array" ref="M260">_xlfn.XLOOKUP(F260, Tipo_Mtto!A:A, Tipo_Mtto!B:B)</f>
        <v>Preventivo Programado</v>
      </c>
    </row>
    <row r="261" ht="14.25" customHeight="1">
      <c r="A261" s="9" t="s">
        <v>358</v>
      </c>
      <c r="B261" s="10">
        <v>46167.0</v>
      </c>
      <c r="C261" s="9" t="s">
        <v>24</v>
      </c>
      <c r="D261" s="14" t="s">
        <v>63</v>
      </c>
      <c r="E261" s="9" t="s">
        <v>25</v>
      </c>
      <c r="F261" s="9" t="s">
        <v>35</v>
      </c>
      <c r="G261" s="11">
        <v>1786.0</v>
      </c>
      <c r="H261" s="9">
        <v>3.0</v>
      </c>
      <c r="I261" s="12" t="str">
        <f t="array" ref="I261">_xlfn.XLOOKUP(C261, Clientes!A:A, Clientes!C:C) &amp; ", El Salvador"</f>
        <v>Santa Ana, El Salvador</v>
      </c>
      <c r="J261" s="13" t="str">
        <f t="array" ref="J261">_xlfn.XLOOKUP(E261, Tecnicos!A:A, Tecnicos!B:B)</f>
        <v>Sofía Rodas</v>
      </c>
      <c r="K261" s="13" t="str">
        <f t="array" ref="K261">_xlfn.XLOOKUP(C261, Clientes!A:A, Clientes!B:B)</f>
        <v>Hospital San Juan de Dios</v>
      </c>
      <c r="L261" s="13" t="str">
        <f t="array" ref="L261">_xlfn.XLOOKUP(D261, Equipos!A:A, Equipos!B:B)</f>
        <v>Monitor</v>
      </c>
      <c r="M261" s="9" t="str">
        <f t="array" ref="M261">_xlfn.XLOOKUP(F261, Tipo_Mtto!A:A, Tipo_Mtto!B:B)</f>
        <v>Instalación</v>
      </c>
    </row>
    <row r="262" ht="14.25" customHeight="1">
      <c r="A262" s="9" t="s">
        <v>359</v>
      </c>
      <c r="B262" s="10">
        <v>46171.0</v>
      </c>
      <c r="C262" s="9" t="s">
        <v>58</v>
      </c>
      <c r="D262" s="14" t="s">
        <v>79</v>
      </c>
      <c r="E262" s="9" t="s">
        <v>45</v>
      </c>
      <c r="F262" s="9" t="s">
        <v>35</v>
      </c>
      <c r="G262" s="11">
        <v>469.0</v>
      </c>
      <c r="H262" s="9">
        <v>5.0</v>
      </c>
      <c r="I262" s="12" t="str">
        <f t="array" ref="I262">_xlfn.XLOOKUP(C262, Clientes!A:A, Clientes!C:C) &amp; ", El Salvador"</f>
        <v>Cuscatlán, El Salvador</v>
      </c>
      <c r="J262" s="13" t="str">
        <f t="array" ref="J262">_xlfn.XLOOKUP(E262, Tecnicos!A:A, Tecnicos!B:B)</f>
        <v>Elena Gómez</v>
      </c>
      <c r="K262" s="13" t="str">
        <f t="array" ref="K262">_xlfn.XLOOKUP(C262, Clientes!A:A, Clientes!B:B)</f>
        <v>Hospital de Cojutepeque</v>
      </c>
      <c r="L262" s="13" t="str">
        <f t="array" ref="L262">_xlfn.XLOOKUP(D262, Equipos!A:A, Equipos!B:B)</f>
        <v>Incubadora</v>
      </c>
      <c r="M262" s="9" t="str">
        <f t="array" ref="M262">_xlfn.XLOOKUP(F262, Tipo_Mtto!A:A, Tipo_Mtto!B:B)</f>
        <v>Instalación</v>
      </c>
    </row>
    <row r="263" ht="14.25" customHeight="1">
      <c r="A263" s="9" t="s">
        <v>360</v>
      </c>
      <c r="B263" s="10">
        <v>46175.0</v>
      </c>
      <c r="C263" s="9" t="s">
        <v>24</v>
      </c>
      <c r="D263" s="14" t="s">
        <v>63</v>
      </c>
      <c r="E263" s="9" t="s">
        <v>51</v>
      </c>
      <c r="F263" s="9" t="s">
        <v>35</v>
      </c>
      <c r="G263" s="11">
        <v>1151.0</v>
      </c>
      <c r="H263" s="9">
        <v>4.0</v>
      </c>
      <c r="I263" s="12" t="str">
        <f t="array" ref="I263">_xlfn.XLOOKUP(C263, Clientes!A:A, Clientes!C:C) &amp; ", El Salvador"</f>
        <v>Santa Ana, El Salvador</v>
      </c>
      <c r="J263" s="13" t="str">
        <f t="array" ref="J263">_xlfn.XLOOKUP(E263, Tecnicos!A:A, Tecnicos!B:B)</f>
        <v>Luis Martínez</v>
      </c>
      <c r="K263" s="13" t="str">
        <f t="array" ref="K263">_xlfn.XLOOKUP(C263, Clientes!A:A, Clientes!B:B)</f>
        <v>Hospital San Juan de Dios</v>
      </c>
      <c r="L263" s="13" t="str">
        <f t="array" ref="L263">_xlfn.XLOOKUP(D263, Equipos!A:A, Equipos!B:B)</f>
        <v>Monitor</v>
      </c>
      <c r="M263" s="9" t="str">
        <f t="array" ref="M263">_xlfn.XLOOKUP(F263, Tipo_Mtto!A:A, Tipo_Mtto!B:B)</f>
        <v>Instalación</v>
      </c>
    </row>
    <row r="264" ht="14.25" customHeight="1">
      <c r="A264" s="9" t="s">
        <v>361</v>
      </c>
      <c r="B264" s="10">
        <v>46176.0</v>
      </c>
      <c r="C264" s="9" t="s">
        <v>44</v>
      </c>
      <c r="D264" s="14" t="s">
        <v>71</v>
      </c>
      <c r="E264" s="9" t="s">
        <v>33</v>
      </c>
      <c r="F264" s="9" t="s">
        <v>23</v>
      </c>
      <c r="G264" s="11">
        <v>1161.0</v>
      </c>
      <c r="H264" s="9">
        <v>6.0</v>
      </c>
      <c r="I264" s="12" t="str">
        <f t="array" ref="I264">_xlfn.XLOOKUP(C264, Clientes!A:A, Clientes!C:C) &amp; ", El Salvador"</f>
        <v>Chalatenango, El Salvador</v>
      </c>
      <c r="J264" s="13" t="str">
        <f t="array" ref="J264">_xlfn.XLOOKUP(E264, Tecnicos!A:A, Tecnicos!B:B)</f>
        <v>Juan Pérez</v>
      </c>
      <c r="K264" s="13" t="str">
        <f t="array" ref="K264">_xlfn.XLOOKUP(C264, Clientes!A:A, Clientes!B:B)</f>
        <v>Hospital Dr. Luis Edmundo Vásquez</v>
      </c>
      <c r="L264" s="13" t="str">
        <f t="array" ref="L264">_xlfn.XLOOKUP(D264, Equipos!A:A, Equipos!B:B)</f>
        <v>Ventilador</v>
      </c>
      <c r="M264" s="9" t="str">
        <f t="array" ref="M264">_xlfn.XLOOKUP(F264, Tipo_Mtto!A:A, Tipo_Mtto!B:B)</f>
        <v>Correctivo</v>
      </c>
    </row>
    <row r="265" ht="14.25" customHeight="1">
      <c r="A265" s="9" t="s">
        <v>362</v>
      </c>
      <c r="B265" s="10">
        <v>46178.0</v>
      </c>
      <c r="C265" s="9" t="s">
        <v>58</v>
      </c>
      <c r="D265" s="14" t="s">
        <v>63</v>
      </c>
      <c r="E265" s="9" t="s">
        <v>45</v>
      </c>
      <c r="F265" s="9" t="s">
        <v>14</v>
      </c>
      <c r="G265" s="11">
        <v>602.0</v>
      </c>
      <c r="H265" s="9">
        <v>12.0</v>
      </c>
      <c r="I265" s="12" t="str">
        <f t="array" ref="I265">_xlfn.XLOOKUP(C265, Clientes!A:A, Clientes!C:C) &amp; ", El Salvador"</f>
        <v>Cuscatlán, El Salvador</v>
      </c>
      <c r="J265" s="13" t="str">
        <f t="array" ref="J265">_xlfn.XLOOKUP(E265, Tecnicos!A:A, Tecnicos!B:B)</f>
        <v>Elena Gómez</v>
      </c>
      <c r="K265" s="13" t="str">
        <f t="array" ref="K265">_xlfn.XLOOKUP(C265, Clientes!A:A, Clientes!B:B)</f>
        <v>Hospital de Cojutepeque</v>
      </c>
      <c r="L265" s="13" t="str">
        <f t="array" ref="L265">_xlfn.XLOOKUP(D265, Equipos!A:A, Equipos!B:B)</f>
        <v>Monitor</v>
      </c>
      <c r="M265" s="9" t="str">
        <f t="array" ref="M265">_xlfn.XLOOKUP(F265, Tipo_Mtto!A:A, Tipo_Mtto!B:B)</f>
        <v>Preventivo Programado</v>
      </c>
    </row>
    <row r="266" ht="14.25" customHeight="1">
      <c r="A266" s="9" t="s">
        <v>363</v>
      </c>
      <c r="B266" s="10">
        <v>46182.0</v>
      </c>
      <c r="C266" s="9" t="s">
        <v>24</v>
      </c>
      <c r="D266" s="14" t="s">
        <v>36</v>
      </c>
      <c r="E266" s="9" t="s">
        <v>25</v>
      </c>
      <c r="F266" s="9" t="s">
        <v>35</v>
      </c>
      <c r="G266" s="11">
        <v>1463.0</v>
      </c>
      <c r="H266" s="9">
        <v>11.0</v>
      </c>
      <c r="I266" s="12" t="str">
        <f t="array" ref="I266">_xlfn.XLOOKUP(C266, Clientes!A:A, Clientes!C:C) &amp; ", El Salvador"</f>
        <v>Santa Ana, El Salvador</v>
      </c>
      <c r="J266" s="13" t="str">
        <f t="array" ref="J266">_xlfn.XLOOKUP(E266, Tecnicos!A:A, Tecnicos!B:B)</f>
        <v>Sofía Rodas</v>
      </c>
      <c r="K266" s="13" t="str">
        <f t="array" ref="K266">_xlfn.XLOOKUP(C266, Clientes!A:A, Clientes!B:B)</f>
        <v>Hospital San Juan de Dios</v>
      </c>
      <c r="L266" s="13" t="str">
        <f t="array" ref="L266">_xlfn.XLOOKUP(D266, Equipos!A:A, Equipos!B:B)</f>
        <v>Ultrasonido</v>
      </c>
      <c r="M266" s="9" t="str">
        <f t="array" ref="M266">_xlfn.XLOOKUP(F266, Tipo_Mtto!A:A, Tipo_Mtto!B:B)</f>
        <v>Instalación</v>
      </c>
    </row>
    <row r="267" ht="14.25" customHeight="1">
      <c r="A267" s="9" t="s">
        <v>364</v>
      </c>
      <c r="B267" s="10">
        <v>46186.0</v>
      </c>
      <c r="C267" s="9" t="s">
        <v>80</v>
      </c>
      <c r="D267" s="14" t="s">
        <v>71</v>
      </c>
      <c r="E267" s="9" t="s">
        <v>51</v>
      </c>
      <c r="F267" s="9" t="s">
        <v>35</v>
      </c>
      <c r="G267" s="11">
        <v>829.0</v>
      </c>
      <c r="H267" s="9">
        <v>10.0</v>
      </c>
      <c r="I267" s="12" t="str">
        <f t="array" ref="I267">_xlfn.XLOOKUP(C267, Clientes!A:A, Clientes!C:C) &amp; ", El Salvador"</f>
        <v>San Miguel, El Salvador</v>
      </c>
      <c r="J267" s="13" t="str">
        <f t="array" ref="J267">_xlfn.XLOOKUP(E267, Tecnicos!A:A, Tecnicos!B:B)</f>
        <v>Luis Martínez</v>
      </c>
      <c r="K267" s="13" t="str">
        <f t="array" ref="K267">_xlfn.XLOOKUP(C267, Clientes!A:A, Clientes!B:B)</f>
        <v>Hospital San Juan de Dios</v>
      </c>
      <c r="L267" s="13" t="str">
        <f t="array" ref="L267">_xlfn.XLOOKUP(D267, Equipos!A:A, Equipos!B:B)</f>
        <v>Ventilador</v>
      </c>
      <c r="M267" s="9" t="str">
        <f t="array" ref="M267">_xlfn.XLOOKUP(F267, Tipo_Mtto!A:A, Tipo_Mtto!B:B)</f>
        <v>Instalación</v>
      </c>
    </row>
    <row r="268" ht="14.25" customHeight="1">
      <c r="A268" s="9" t="s">
        <v>365</v>
      </c>
      <c r="B268" s="10">
        <v>46187.0</v>
      </c>
      <c r="C268" s="9" t="s">
        <v>34</v>
      </c>
      <c r="D268" s="14" t="s">
        <v>79</v>
      </c>
      <c r="E268" s="9" t="s">
        <v>45</v>
      </c>
      <c r="F268" s="9" t="s">
        <v>14</v>
      </c>
      <c r="G268" s="11">
        <v>575.0</v>
      </c>
      <c r="H268" s="9">
        <v>9.0</v>
      </c>
      <c r="I268" s="12" t="str">
        <f t="array" ref="I268">_xlfn.XLOOKUP(C268, Clientes!A:A, Clientes!C:C) &amp; ", El Salvador"</f>
        <v>Sonsonate, El Salvador</v>
      </c>
      <c r="J268" s="13" t="str">
        <f t="array" ref="J268">_xlfn.XLOOKUP(E268, Tecnicos!A:A, Tecnicos!B:B)</f>
        <v>Elena Gómez</v>
      </c>
      <c r="K268" s="13" t="str">
        <f t="array" ref="K268">_xlfn.XLOOKUP(C268, Clientes!A:A, Clientes!B:B)</f>
        <v>Hospital Jorge Mazzini</v>
      </c>
      <c r="L268" s="13" t="str">
        <f t="array" ref="L268">_xlfn.XLOOKUP(D268, Equipos!A:A, Equipos!B:B)</f>
        <v>Incubadora</v>
      </c>
      <c r="M268" s="9" t="str">
        <f t="array" ref="M268">_xlfn.XLOOKUP(F268, Tipo_Mtto!A:A, Tipo_Mtto!B:B)</f>
        <v>Preventivo Programado</v>
      </c>
    </row>
    <row r="269" ht="14.25" customHeight="1">
      <c r="A269" s="9" t="s">
        <v>366</v>
      </c>
      <c r="B269" s="10">
        <v>46190.0</v>
      </c>
      <c r="C269" s="9" t="s">
        <v>61</v>
      </c>
      <c r="D269" s="14" t="s">
        <v>63</v>
      </c>
      <c r="E269" s="9" t="s">
        <v>25</v>
      </c>
      <c r="F269" s="9" t="s">
        <v>35</v>
      </c>
      <c r="G269" s="11">
        <v>165.0</v>
      </c>
      <c r="H269" s="9">
        <v>5.0</v>
      </c>
      <c r="I269" s="12" t="str">
        <f t="array" ref="I269">_xlfn.XLOOKUP(C269, Clientes!A:A, Clientes!C:C) &amp; ", El Salvador"</f>
        <v>La Paz, El Salvador</v>
      </c>
      <c r="J269" s="13" t="str">
        <f t="array" ref="J269">_xlfn.XLOOKUP(E269, Tecnicos!A:A, Tecnicos!B:B)</f>
        <v>Sofía Rodas</v>
      </c>
      <c r="K269" s="13" t="str">
        <f t="array" ref="K269">_xlfn.XLOOKUP(C269, Clientes!A:A, Clientes!B:B)</f>
        <v>Hospital Santa Teresa</v>
      </c>
      <c r="L269" s="13" t="str">
        <f t="array" ref="L269">_xlfn.XLOOKUP(D269, Equipos!A:A, Equipos!B:B)</f>
        <v>Monitor</v>
      </c>
      <c r="M269" s="9" t="str">
        <f t="array" ref="M269">_xlfn.XLOOKUP(F269, Tipo_Mtto!A:A, Tipo_Mtto!B:B)</f>
        <v>Instalación</v>
      </c>
    </row>
    <row r="270" ht="14.25" customHeight="1">
      <c r="A270" s="9" t="s">
        <v>367</v>
      </c>
      <c r="B270" s="10">
        <v>46195.0</v>
      </c>
      <c r="C270" s="9" t="s">
        <v>44</v>
      </c>
      <c r="D270" s="14" t="s">
        <v>36</v>
      </c>
      <c r="E270" s="9" t="s">
        <v>11</v>
      </c>
      <c r="F270" s="9" t="s">
        <v>14</v>
      </c>
      <c r="G270" s="11">
        <v>341.0</v>
      </c>
      <c r="H270" s="9">
        <v>1.0</v>
      </c>
      <c r="I270" s="12" t="str">
        <f t="array" ref="I270">_xlfn.XLOOKUP(C270, Clientes!A:A, Clientes!C:C) &amp; ", El Salvador"</f>
        <v>Chalatenango, El Salvador</v>
      </c>
      <c r="J270" s="13" t="str">
        <f t="array" ref="J270">_xlfn.XLOOKUP(E270, Tecnicos!A:A, Tecnicos!B:B)</f>
        <v>Carlos Mendoza</v>
      </c>
      <c r="K270" s="13" t="str">
        <f t="array" ref="K270">_xlfn.XLOOKUP(C270, Clientes!A:A, Clientes!B:B)</f>
        <v>Hospital Dr. Luis Edmundo Vásquez</v>
      </c>
      <c r="L270" s="13" t="str">
        <f t="array" ref="L270">_xlfn.XLOOKUP(D270, Equipos!A:A, Equipos!B:B)</f>
        <v>Ultrasonido</v>
      </c>
      <c r="M270" s="9" t="str">
        <f t="array" ref="M270">_xlfn.XLOOKUP(F270, Tipo_Mtto!A:A, Tipo_Mtto!B:B)</f>
        <v>Preventivo Programado</v>
      </c>
    </row>
    <row r="271" ht="14.25" customHeight="1">
      <c r="A271" s="9" t="s">
        <v>368</v>
      </c>
      <c r="B271" s="10">
        <v>46200.0</v>
      </c>
      <c r="C271" s="9" t="s">
        <v>24</v>
      </c>
      <c r="D271" s="14" t="s">
        <v>71</v>
      </c>
      <c r="E271" s="9" t="s">
        <v>11</v>
      </c>
      <c r="F271" s="9" t="s">
        <v>23</v>
      </c>
      <c r="G271" s="11">
        <v>1914.0</v>
      </c>
      <c r="H271" s="9">
        <v>5.0</v>
      </c>
      <c r="I271" s="12" t="str">
        <f t="array" ref="I271">_xlfn.XLOOKUP(C271, Clientes!A:A, Clientes!C:C) &amp; ", El Salvador"</f>
        <v>Santa Ana, El Salvador</v>
      </c>
      <c r="J271" s="13" t="str">
        <f t="array" ref="J271">_xlfn.XLOOKUP(E271, Tecnicos!A:A, Tecnicos!B:B)</f>
        <v>Carlos Mendoza</v>
      </c>
      <c r="K271" s="13" t="str">
        <f t="array" ref="K271">_xlfn.XLOOKUP(C271, Clientes!A:A, Clientes!B:B)</f>
        <v>Hospital San Juan de Dios</v>
      </c>
      <c r="L271" s="13" t="str">
        <f t="array" ref="L271">_xlfn.XLOOKUP(D271, Equipos!A:A, Equipos!B:B)</f>
        <v>Ventilador</v>
      </c>
      <c r="M271" s="9" t="str">
        <f t="array" ref="M271">_xlfn.XLOOKUP(F271, Tipo_Mtto!A:A, Tipo_Mtto!B:B)</f>
        <v>Correctivo</v>
      </c>
    </row>
    <row r="272" ht="14.25" customHeight="1">
      <c r="A272" s="9" t="s">
        <v>369</v>
      </c>
      <c r="B272" s="10">
        <v>46201.0</v>
      </c>
      <c r="C272" s="9" t="s">
        <v>50</v>
      </c>
      <c r="D272" s="14" t="s">
        <v>79</v>
      </c>
      <c r="E272" s="9" t="s">
        <v>25</v>
      </c>
      <c r="F272" s="9" t="s">
        <v>35</v>
      </c>
      <c r="G272" s="11">
        <v>2071.0</v>
      </c>
      <c r="H272" s="9">
        <v>11.0</v>
      </c>
      <c r="I272" s="12" t="str">
        <f t="array" ref="I272">_xlfn.XLOOKUP(C272, Clientes!A:A, Clientes!C:C) &amp; ", El Salvador"</f>
        <v>La Libertad, El Salvador</v>
      </c>
      <c r="J272" s="13" t="str">
        <f t="array" ref="J272">_xlfn.XLOOKUP(E272, Tecnicos!A:A, Tecnicos!B:B)</f>
        <v>Sofía Rodas</v>
      </c>
      <c r="K272" s="13" t="str">
        <f t="array" ref="K272">_xlfn.XLOOKUP(C272, Clientes!A:A, Clientes!B:B)</f>
        <v>Hospital San Rafael</v>
      </c>
      <c r="L272" s="13" t="str">
        <f t="array" ref="L272">_xlfn.XLOOKUP(D272, Equipos!A:A, Equipos!B:B)</f>
        <v>Incubadora</v>
      </c>
      <c r="M272" s="9" t="str">
        <f t="array" ref="M272">_xlfn.XLOOKUP(F272, Tipo_Mtto!A:A, Tipo_Mtto!B:B)</f>
        <v>Instalación</v>
      </c>
    </row>
    <row r="273" ht="14.25" customHeight="1">
      <c r="A273" s="9" t="s">
        <v>370</v>
      </c>
      <c r="B273" s="10">
        <v>46205.0</v>
      </c>
      <c r="C273" s="9" t="s">
        <v>24</v>
      </c>
      <c r="D273" s="14" t="s">
        <v>17</v>
      </c>
      <c r="E273" s="9" t="s">
        <v>11</v>
      </c>
      <c r="F273" s="9" t="s">
        <v>14</v>
      </c>
      <c r="G273" s="11">
        <v>1606.0</v>
      </c>
      <c r="H273" s="9">
        <v>9.0</v>
      </c>
      <c r="I273" s="12" t="str">
        <f t="array" ref="I273">_xlfn.XLOOKUP(C273, Clientes!A:A, Clientes!C:C) &amp; ", El Salvador"</f>
        <v>Santa Ana, El Salvador</v>
      </c>
      <c r="J273" s="13" t="str">
        <f t="array" ref="J273">_xlfn.XLOOKUP(E273, Tecnicos!A:A, Tecnicos!B:B)</f>
        <v>Carlos Mendoza</v>
      </c>
      <c r="K273" s="13" t="str">
        <f t="array" ref="K273">_xlfn.XLOOKUP(C273, Clientes!A:A, Clientes!B:B)</f>
        <v>Hospital San Juan de Dios</v>
      </c>
      <c r="L273" s="13" t="str">
        <f t="array" ref="L273">_xlfn.XLOOKUP(D273, Equipos!A:A, Equipos!B:B)</f>
        <v>Rayos X</v>
      </c>
      <c r="M273" s="9" t="str">
        <f t="array" ref="M273">_xlfn.XLOOKUP(F273, Tipo_Mtto!A:A, Tipo_Mtto!B:B)</f>
        <v>Preventivo Programado</v>
      </c>
    </row>
    <row r="274" ht="14.25" customHeight="1">
      <c r="A274" s="9" t="s">
        <v>371</v>
      </c>
      <c r="B274" s="10">
        <v>46209.0</v>
      </c>
      <c r="C274" s="9" t="s">
        <v>75</v>
      </c>
      <c r="D274" s="14" t="s">
        <v>87</v>
      </c>
      <c r="E274" s="9" t="s">
        <v>51</v>
      </c>
      <c r="F274" s="9" t="s">
        <v>23</v>
      </c>
      <c r="G274" s="11">
        <v>2311.0</v>
      </c>
      <c r="H274" s="9">
        <v>10.0</v>
      </c>
      <c r="I274" s="12" t="str">
        <f t="array" ref="I274">_xlfn.XLOOKUP(C274, Clientes!A:A, Clientes!C:C) &amp; ", El Salvador"</f>
        <v>Usulután, El Salvador</v>
      </c>
      <c r="J274" s="13" t="str">
        <f t="array" ref="J274">_xlfn.XLOOKUP(E274, Tecnicos!A:A, Tecnicos!B:B)</f>
        <v>Luis Martínez</v>
      </c>
      <c r="K274" s="13" t="str">
        <f t="array" ref="K274">_xlfn.XLOOKUP(C274, Clientes!A:A, Clientes!B:B)</f>
        <v>Hospital de Usulután</v>
      </c>
      <c r="L274" s="13" t="str">
        <f t="array" ref="L274">_xlfn.XLOOKUP(D274, Equipos!A:A, Equipos!B:B)</f>
        <v>Desfibrilador</v>
      </c>
      <c r="M274" s="9" t="str">
        <f t="array" ref="M274">_xlfn.XLOOKUP(F274, Tipo_Mtto!A:A, Tipo_Mtto!B:B)</f>
        <v>Correctivo</v>
      </c>
    </row>
    <row r="275" ht="14.25" customHeight="1">
      <c r="A275" s="9" t="s">
        <v>372</v>
      </c>
      <c r="B275" s="10">
        <v>46211.0</v>
      </c>
      <c r="C275" s="9" t="s">
        <v>83</v>
      </c>
      <c r="D275" s="14" t="s">
        <v>17</v>
      </c>
      <c r="E275" s="9" t="s">
        <v>51</v>
      </c>
      <c r="F275" s="9" t="s">
        <v>14</v>
      </c>
      <c r="G275" s="11">
        <v>817.0</v>
      </c>
      <c r="H275" s="9">
        <v>6.0</v>
      </c>
      <c r="I275" s="12" t="str">
        <f t="array" ref="I275">_xlfn.XLOOKUP(C275, Clientes!A:A, Clientes!C:C) &amp; ", El Salvador"</f>
        <v>Morazán, El Salvador</v>
      </c>
      <c r="J275" s="13" t="str">
        <f t="array" ref="J275">_xlfn.XLOOKUP(E275, Tecnicos!A:A, Tecnicos!B:B)</f>
        <v>Luis Martínez</v>
      </c>
      <c r="K275" s="13" t="str">
        <f t="array" ref="K275">_xlfn.XLOOKUP(C275, Clientes!A:A, Clientes!B:B)</f>
        <v>Hospital de San Francisco Gotera</v>
      </c>
      <c r="L275" s="13" t="str">
        <f t="array" ref="L275">_xlfn.XLOOKUP(D275, Equipos!A:A, Equipos!B:B)</f>
        <v>Rayos X</v>
      </c>
      <c r="M275" s="9" t="str">
        <f t="array" ref="M275">_xlfn.XLOOKUP(F275, Tipo_Mtto!A:A, Tipo_Mtto!B:B)</f>
        <v>Preventivo Programado</v>
      </c>
    </row>
    <row r="276" ht="14.25" customHeight="1">
      <c r="A276" s="9" t="s">
        <v>373</v>
      </c>
      <c r="B276" s="10">
        <v>46213.0</v>
      </c>
      <c r="C276" s="9" t="s">
        <v>65</v>
      </c>
      <c r="D276" s="14" t="s">
        <v>63</v>
      </c>
      <c r="E276" s="9" t="s">
        <v>33</v>
      </c>
      <c r="F276" s="9" t="s">
        <v>14</v>
      </c>
      <c r="G276" s="11">
        <v>877.0</v>
      </c>
      <c r="H276" s="9">
        <v>4.0</v>
      </c>
      <c r="I276" s="12" t="str">
        <f t="array" ref="I276">_xlfn.XLOOKUP(C276, Clientes!A:A, Clientes!C:C) &amp; ", El Salvador"</f>
        <v>Cabañas, El Salvador</v>
      </c>
      <c r="J276" s="13" t="str">
        <f t="array" ref="J276">_xlfn.XLOOKUP(E276, Tecnicos!A:A, Tecnicos!B:B)</f>
        <v>Juan Pérez</v>
      </c>
      <c r="K276" s="13" t="str">
        <f t="array" ref="K276">_xlfn.XLOOKUP(C276, Clientes!A:A, Clientes!B:B)</f>
        <v>Hospital de Sensuntepeque</v>
      </c>
      <c r="L276" s="13" t="str">
        <f t="array" ref="L276">_xlfn.XLOOKUP(D276, Equipos!A:A, Equipos!B:B)</f>
        <v>Monitor</v>
      </c>
      <c r="M276" s="9" t="str">
        <f t="array" ref="M276">_xlfn.XLOOKUP(F276, Tipo_Mtto!A:A, Tipo_Mtto!B:B)</f>
        <v>Preventivo Programado</v>
      </c>
    </row>
    <row r="277" ht="14.25" customHeight="1">
      <c r="A277" s="9" t="s">
        <v>374</v>
      </c>
      <c r="B277" s="10">
        <v>46216.0</v>
      </c>
      <c r="C277" s="9" t="s">
        <v>70</v>
      </c>
      <c r="D277" s="14" t="s">
        <v>79</v>
      </c>
      <c r="E277" s="9" t="s">
        <v>33</v>
      </c>
      <c r="F277" s="9" t="s">
        <v>35</v>
      </c>
      <c r="G277" s="11">
        <v>1197.0</v>
      </c>
      <c r="H277" s="9">
        <v>2.0</v>
      </c>
      <c r="I277" s="12" t="str">
        <f t="array" ref="I277">_xlfn.XLOOKUP(C277, Clientes!A:A, Clientes!C:C) &amp; ", El Salvador"</f>
        <v>San Vicente, El Salvador</v>
      </c>
      <c r="J277" s="13" t="str">
        <f t="array" ref="J277">_xlfn.XLOOKUP(E277, Tecnicos!A:A, Tecnicos!B:B)</f>
        <v>Juan Pérez</v>
      </c>
      <c r="K277" s="13" t="str">
        <f t="array" ref="K277">_xlfn.XLOOKUP(C277, Clientes!A:A, Clientes!B:B)</f>
        <v>Hospital Santa Gertrudis</v>
      </c>
      <c r="L277" s="13" t="str">
        <f t="array" ref="L277">_xlfn.XLOOKUP(D277, Equipos!A:A, Equipos!B:B)</f>
        <v>Incubadora</v>
      </c>
      <c r="M277" s="9" t="str">
        <f t="array" ref="M277">_xlfn.XLOOKUP(F277, Tipo_Mtto!A:A, Tipo_Mtto!B:B)</f>
        <v>Instalación</v>
      </c>
    </row>
    <row r="278" ht="14.25" customHeight="1">
      <c r="A278" s="9" t="s">
        <v>375</v>
      </c>
      <c r="B278" s="10">
        <v>46218.0</v>
      </c>
      <c r="C278" s="9" t="s">
        <v>50</v>
      </c>
      <c r="D278" s="14" t="s">
        <v>63</v>
      </c>
      <c r="E278" s="9" t="s">
        <v>51</v>
      </c>
      <c r="F278" s="9" t="s">
        <v>14</v>
      </c>
      <c r="G278" s="11">
        <v>1883.0</v>
      </c>
      <c r="H278" s="9">
        <v>6.0</v>
      </c>
      <c r="I278" s="12" t="str">
        <f t="array" ref="I278">_xlfn.XLOOKUP(C278, Clientes!A:A, Clientes!C:C) &amp; ", El Salvador"</f>
        <v>La Libertad, El Salvador</v>
      </c>
      <c r="J278" s="13" t="str">
        <f t="array" ref="J278">_xlfn.XLOOKUP(E278, Tecnicos!A:A, Tecnicos!B:B)</f>
        <v>Luis Martínez</v>
      </c>
      <c r="K278" s="13" t="str">
        <f t="array" ref="K278">_xlfn.XLOOKUP(C278, Clientes!A:A, Clientes!B:B)</f>
        <v>Hospital San Rafael</v>
      </c>
      <c r="L278" s="13" t="str">
        <f t="array" ref="L278">_xlfn.XLOOKUP(D278, Equipos!A:A, Equipos!B:B)</f>
        <v>Monitor</v>
      </c>
      <c r="M278" s="9" t="str">
        <f t="array" ref="M278">_xlfn.XLOOKUP(F278, Tipo_Mtto!A:A, Tipo_Mtto!B:B)</f>
        <v>Preventivo Programado</v>
      </c>
    </row>
    <row r="279" ht="14.25" customHeight="1">
      <c r="A279" s="9" t="s">
        <v>376</v>
      </c>
      <c r="B279" s="10">
        <v>46222.0</v>
      </c>
      <c r="C279" s="9" t="s">
        <v>50</v>
      </c>
      <c r="D279" s="14" t="s">
        <v>71</v>
      </c>
      <c r="E279" s="9" t="s">
        <v>11</v>
      </c>
      <c r="F279" s="9" t="s">
        <v>14</v>
      </c>
      <c r="G279" s="11">
        <v>977.0</v>
      </c>
      <c r="H279" s="9">
        <v>1.0</v>
      </c>
      <c r="I279" s="12" t="str">
        <f t="array" ref="I279">_xlfn.XLOOKUP(C279, Clientes!A:A, Clientes!C:C) &amp; ", El Salvador"</f>
        <v>La Libertad, El Salvador</v>
      </c>
      <c r="J279" s="13" t="str">
        <f t="array" ref="J279">_xlfn.XLOOKUP(E279, Tecnicos!A:A, Tecnicos!B:B)</f>
        <v>Carlos Mendoza</v>
      </c>
      <c r="K279" s="13" t="str">
        <f t="array" ref="K279">_xlfn.XLOOKUP(C279, Clientes!A:A, Clientes!B:B)</f>
        <v>Hospital San Rafael</v>
      </c>
      <c r="L279" s="13" t="str">
        <f t="array" ref="L279">_xlfn.XLOOKUP(D279, Equipos!A:A, Equipos!B:B)</f>
        <v>Ventilador</v>
      </c>
      <c r="M279" s="9" t="str">
        <f t="array" ref="M279">_xlfn.XLOOKUP(F279, Tipo_Mtto!A:A, Tipo_Mtto!B:B)</f>
        <v>Preventivo Programado</v>
      </c>
    </row>
    <row r="280" ht="14.25" customHeight="1">
      <c r="A280" s="9" t="s">
        <v>377</v>
      </c>
      <c r="B280" s="10">
        <v>46226.0</v>
      </c>
      <c r="C280" s="9" t="s">
        <v>80</v>
      </c>
      <c r="D280" s="14" t="s">
        <v>79</v>
      </c>
      <c r="E280" s="9" t="s">
        <v>51</v>
      </c>
      <c r="F280" s="9" t="s">
        <v>14</v>
      </c>
      <c r="G280" s="11">
        <v>2288.0</v>
      </c>
      <c r="H280" s="9">
        <v>1.0</v>
      </c>
      <c r="I280" s="12" t="str">
        <f t="array" ref="I280">_xlfn.XLOOKUP(C280, Clientes!A:A, Clientes!C:C) &amp; ", El Salvador"</f>
        <v>San Miguel, El Salvador</v>
      </c>
      <c r="J280" s="13" t="str">
        <f t="array" ref="J280">_xlfn.XLOOKUP(E280, Tecnicos!A:A, Tecnicos!B:B)</f>
        <v>Luis Martínez</v>
      </c>
      <c r="K280" s="13" t="str">
        <f t="array" ref="K280">_xlfn.XLOOKUP(C280, Clientes!A:A, Clientes!B:B)</f>
        <v>Hospital San Juan de Dios</v>
      </c>
      <c r="L280" s="13" t="str">
        <f t="array" ref="L280">_xlfn.XLOOKUP(D280, Equipos!A:A, Equipos!B:B)</f>
        <v>Incubadora</v>
      </c>
      <c r="M280" s="9" t="str">
        <f t="array" ref="M280">_xlfn.XLOOKUP(F280, Tipo_Mtto!A:A, Tipo_Mtto!B:B)</f>
        <v>Preventivo Programado</v>
      </c>
    </row>
    <row r="281" ht="14.25" customHeight="1">
      <c r="A281" s="9" t="s">
        <v>378</v>
      </c>
      <c r="B281" s="10">
        <v>46231.0</v>
      </c>
      <c r="C281" s="9" t="s">
        <v>50</v>
      </c>
      <c r="D281" s="14" t="s">
        <v>71</v>
      </c>
      <c r="E281" s="9" t="s">
        <v>11</v>
      </c>
      <c r="F281" s="9" t="s">
        <v>23</v>
      </c>
      <c r="G281" s="11">
        <v>305.0</v>
      </c>
      <c r="H281" s="9">
        <v>1.0</v>
      </c>
      <c r="I281" s="12" t="str">
        <f t="array" ref="I281">_xlfn.XLOOKUP(C281, Clientes!A:A, Clientes!C:C) &amp; ", El Salvador"</f>
        <v>La Libertad, El Salvador</v>
      </c>
      <c r="J281" s="13" t="str">
        <f t="array" ref="J281">_xlfn.XLOOKUP(E281, Tecnicos!A:A, Tecnicos!B:B)</f>
        <v>Carlos Mendoza</v>
      </c>
      <c r="K281" s="13" t="str">
        <f t="array" ref="K281">_xlfn.XLOOKUP(C281, Clientes!A:A, Clientes!B:B)</f>
        <v>Hospital San Rafael</v>
      </c>
      <c r="L281" s="13" t="str">
        <f t="array" ref="L281">_xlfn.XLOOKUP(D281, Equipos!A:A, Equipos!B:B)</f>
        <v>Ventilador</v>
      </c>
      <c r="M281" s="9" t="str">
        <f t="array" ref="M281">_xlfn.XLOOKUP(F281, Tipo_Mtto!A:A, Tipo_Mtto!B:B)</f>
        <v>Correctivo</v>
      </c>
    </row>
    <row r="282" ht="14.25" customHeight="1">
      <c r="A282" s="9" t="s">
        <v>379</v>
      </c>
      <c r="B282" s="10">
        <v>46237.0</v>
      </c>
      <c r="C282" s="9" t="s">
        <v>75</v>
      </c>
      <c r="D282" s="14" t="s">
        <v>63</v>
      </c>
      <c r="E282" s="9" t="s">
        <v>25</v>
      </c>
      <c r="F282" s="9" t="s">
        <v>14</v>
      </c>
      <c r="G282" s="11">
        <v>1282.0</v>
      </c>
      <c r="H282" s="9">
        <v>6.0</v>
      </c>
      <c r="I282" s="12" t="str">
        <f t="array" ref="I282">_xlfn.XLOOKUP(C282, Clientes!A:A, Clientes!C:C) &amp; ", El Salvador"</f>
        <v>Usulután, El Salvador</v>
      </c>
      <c r="J282" s="13" t="str">
        <f t="array" ref="J282">_xlfn.XLOOKUP(E282, Tecnicos!A:A, Tecnicos!B:B)</f>
        <v>Sofía Rodas</v>
      </c>
      <c r="K282" s="13" t="str">
        <f t="array" ref="K282">_xlfn.XLOOKUP(C282, Clientes!A:A, Clientes!B:B)</f>
        <v>Hospital de Usulután</v>
      </c>
      <c r="L282" s="13" t="str">
        <f t="array" ref="L282">_xlfn.XLOOKUP(D282, Equipos!A:A, Equipos!B:B)</f>
        <v>Monitor</v>
      </c>
      <c r="M282" s="9" t="str">
        <f t="array" ref="M282">_xlfn.XLOOKUP(F282, Tipo_Mtto!A:A, Tipo_Mtto!B:B)</f>
        <v>Preventivo Programado</v>
      </c>
    </row>
    <row r="283" ht="14.25" customHeight="1">
      <c r="A283" s="9" t="s">
        <v>380</v>
      </c>
      <c r="B283" s="10">
        <v>46239.0</v>
      </c>
      <c r="C283" s="9" t="s">
        <v>13</v>
      </c>
      <c r="D283" s="14" t="s">
        <v>63</v>
      </c>
      <c r="E283" s="9" t="s">
        <v>45</v>
      </c>
      <c r="F283" s="9" t="s">
        <v>35</v>
      </c>
      <c r="G283" s="11">
        <v>819.0</v>
      </c>
      <c r="H283" s="9">
        <v>3.0</v>
      </c>
      <c r="I283" s="12" t="str">
        <f t="array" ref="I283">_xlfn.XLOOKUP(C283, Clientes!A:A, Clientes!C:C) &amp; ", El Salvador"</f>
        <v>Ahuachapán, El Salvador</v>
      </c>
      <c r="J283" s="13" t="str">
        <f t="array" ref="J283">_xlfn.XLOOKUP(E283, Tecnicos!A:A, Tecnicos!B:B)</f>
        <v>Elena Gómez</v>
      </c>
      <c r="K283" s="13" t="str">
        <f t="array" ref="K283">_xlfn.XLOOKUP(C283, Clientes!A:A, Clientes!B:B)</f>
        <v>Hospital Nacional de Ahuachapán</v>
      </c>
      <c r="L283" s="13" t="str">
        <f t="array" ref="L283">_xlfn.XLOOKUP(D283, Equipos!A:A, Equipos!B:B)</f>
        <v>Monitor</v>
      </c>
      <c r="M283" s="9" t="str">
        <f t="array" ref="M283">_xlfn.XLOOKUP(F283, Tipo_Mtto!A:A, Tipo_Mtto!B:B)</f>
        <v>Instalación</v>
      </c>
    </row>
    <row r="284" ht="14.25" customHeight="1">
      <c r="A284" s="9" t="s">
        <v>381</v>
      </c>
      <c r="B284" s="10">
        <v>46240.0</v>
      </c>
      <c r="C284" s="9" t="s">
        <v>55</v>
      </c>
      <c r="D284" s="14" t="s">
        <v>36</v>
      </c>
      <c r="E284" s="9" t="s">
        <v>33</v>
      </c>
      <c r="F284" s="9" t="s">
        <v>35</v>
      </c>
      <c r="G284" s="11">
        <v>566.0</v>
      </c>
      <c r="H284" s="9">
        <v>8.0</v>
      </c>
      <c r="I284" s="12" t="str">
        <f t="array" ref="I284">_xlfn.XLOOKUP(C284, Clientes!A:A, Clientes!C:C) &amp; ", El Salvador"</f>
        <v>San Salvador, El Salvador</v>
      </c>
      <c r="J284" s="13" t="str">
        <f t="array" ref="J284">_xlfn.XLOOKUP(E284, Tecnicos!A:A, Tecnicos!B:B)</f>
        <v>Juan Pérez</v>
      </c>
      <c r="K284" s="13" t="str">
        <f t="array" ref="K284">_xlfn.XLOOKUP(C284, Clientes!A:A, Clientes!B:B)</f>
        <v>Hospital Nacional Rosales</v>
      </c>
      <c r="L284" s="13" t="str">
        <f t="array" ref="L284">_xlfn.XLOOKUP(D284, Equipos!A:A, Equipos!B:B)</f>
        <v>Ultrasonido</v>
      </c>
      <c r="M284" s="9" t="str">
        <f t="array" ref="M284">_xlfn.XLOOKUP(F284, Tipo_Mtto!A:A, Tipo_Mtto!B:B)</f>
        <v>Instalación</v>
      </c>
    </row>
    <row r="285" ht="14.25" customHeight="1">
      <c r="A285" s="9" t="s">
        <v>382</v>
      </c>
      <c r="B285" s="10">
        <v>46245.0</v>
      </c>
      <c r="C285" s="9" t="s">
        <v>58</v>
      </c>
      <c r="D285" s="14" t="s">
        <v>79</v>
      </c>
      <c r="E285" s="9" t="s">
        <v>25</v>
      </c>
      <c r="F285" s="9" t="s">
        <v>35</v>
      </c>
      <c r="G285" s="11">
        <v>667.0</v>
      </c>
      <c r="H285" s="9">
        <v>7.0</v>
      </c>
      <c r="I285" s="12" t="str">
        <f t="array" ref="I285">_xlfn.XLOOKUP(C285, Clientes!A:A, Clientes!C:C) &amp; ", El Salvador"</f>
        <v>Cuscatlán, El Salvador</v>
      </c>
      <c r="J285" s="13" t="str">
        <f t="array" ref="J285">_xlfn.XLOOKUP(E285, Tecnicos!A:A, Tecnicos!B:B)</f>
        <v>Sofía Rodas</v>
      </c>
      <c r="K285" s="13" t="str">
        <f t="array" ref="K285">_xlfn.XLOOKUP(C285, Clientes!A:A, Clientes!B:B)</f>
        <v>Hospital de Cojutepeque</v>
      </c>
      <c r="L285" s="13" t="str">
        <f t="array" ref="L285">_xlfn.XLOOKUP(D285, Equipos!A:A, Equipos!B:B)</f>
        <v>Incubadora</v>
      </c>
      <c r="M285" s="9" t="str">
        <f t="array" ref="M285">_xlfn.XLOOKUP(F285, Tipo_Mtto!A:A, Tipo_Mtto!B:B)</f>
        <v>Instalación</v>
      </c>
    </row>
    <row r="286" ht="14.25" customHeight="1">
      <c r="A286" s="9" t="s">
        <v>383</v>
      </c>
      <c r="B286" s="10">
        <v>46249.0</v>
      </c>
      <c r="C286" s="9" t="s">
        <v>44</v>
      </c>
      <c r="D286" s="14" t="s">
        <v>63</v>
      </c>
      <c r="E286" s="9" t="s">
        <v>45</v>
      </c>
      <c r="F286" s="9" t="s">
        <v>14</v>
      </c>
      <c r="G286" s="11">
        <v>260.0</v>
      </c>
      <c r="H286" s="9">
        <v>10.0</v>
      </c>
      <c r="I286" s="12" t="str">
        <f t="array" ref="I286">_xlfn.XLOOKUP(C286, Clientes!A:A, Clientes!C:C) &amp; ", El Salvador"</f>
        <v>Chalatenango, El Salvador</v>
      </c>
      <c r="J286" s="13" t="str">
        <f t="array" ref="J286">_xlfn.XLOOKUP(E286, Tecnicos!A:A, Tecnicos!B:B)</f>
        <v>Elena Gómez</v>
      </c>
      <c r="K286" s="13" t="str">
        <f t="array" ref="K286">_xlfn.XLOOKUP(C286, Clientes!A:A, Clientes!B:B)</f>
        <v>Hospital Dr. Luis Edmundo Vásquez</v>
      </c>
      <c r="L286" s="13" t="str">
        <f t="array" ref="L286">_xlfn.XLOOKUP(D286, Equipos!A:A, Equipos!B:B)</f>
        <v>Monitor</v>
      </c>
      <c r="M286" s="9" t="str">
        <f t="array" ref="M286">_xlfn.XLOOKUP(F286, Tipo_Mtto!A:A, Tipo_Mtto!B:B)</f>
        <v>Preventivo Programado</v>
      </c>
    </row>
    <row r="287" ht="14.25" customHeight="1">
      <c r="A287" s="9" t="s">
        <v>384</v>
      </c>
      <c r="B287" s="10">
        <v>46253.0</v>
      </c>
      <c r="C287" s="9" t="s">
        <v>61</v>
      </c>
      <c r="D287" s="14" t="s">
        <v>87</v>
      </c>
      <c r="E287" s="9" t="s">
        <v>33</v>
      </c>
      <c r="F287" s="9" t="s">
        <v>14</v>
      </c>
      <c r="G287" s="11">
        <v>1513.0</v>
      </c>
      <c r="H287" s="9">
        <v>2.0</v>
      </c>
      <c r="I287" s="12" t="str">
        <f t="array" ref="I287">_xlfn.XLOOKUP(C287, Clientes!A:A, Clientes!C:C) &amp; ", El Salvador"</f>
        <v>La Paz, El Salvador</v>
      </c>
      <c r="J287" s="13" t="str">
        <f t="array" ref="J287">_xlfn.XLOOKUP(E287, Tecnicos!A:A, Tecnicos!B:B)</f>
        <v>Juan Pérez</v>
      </c>
      <c r="K287" s="13" t="str">
        <f t="array" ref="K287">_xlfn.XLOOKUP(C287, Clientes!A:A, Clientes!B:B)</f>
        <v>Hospital Santa Teresa</v>
      </c>
      <c r="L287" s="13" t="str">
        <f t="array" ref="L287">_xlfn.XLOOKUP(D287, Equipos!A:A, Equipos!B:B)</f>
        <v>Desfibrilador</v>
      </c>
      <c r="M287" s="9" t="str">
        <f t="array" ref="M287">_xlfn.XLOOKUP(F287, Tipo_Mtto!A:A, Tipo_Mtto!B:B)</f>
        <v>Preventivo Programado</v>
      </c>
    </row>
    <row r="288" ht="14.25" customHeight="1">
      <c r="A288" s="9" t="s">
        <v>385</v>
      </c>
      <c r="B288" s="10">
        <v>46256.0</v>
      </c>
      <c r="C288" s="9" t="s">
        <v>44</v>
      </c>
      <c r="D288" s="14" t="s">
        <v>17</v>
      </c>
      <c r="E288" s="9" t="s">
        <v>45</v>
      </c>
      <c r="F288" s="9" t="s">
        <v>35</v>
      </c>
      <c r="G288" s="11">
        <v>537.0</v>
      </c>
      <c r="H288" s="9">
        <v>11.0</v>
      </c>
      <c r="I288" s="12" t="str">
        <f t="array" ref="I288">_xlfn.XLOOKUP(C288, Clientes!A:A, Clientes!C:C) &amp; ", El Salvador"</f>
        <v>Chalatenango, El Salvador</v>
      </c>
      <c r="J288" s="13" t="str">
        <f t="array" ref="J288">_xlfn.XLOOKUP(E288, Tecnicos!A:A, Tecnicos!B:B)</f>
        <v>Elena Gómez</v>
      </c>
      <c r="K288" s="13" t="str">
        <f t="array" ref="K288">_xlfn.XLOOKUP(C288, Clientes!A:A, Clientes!B:B)</f>
        <v>Hospital Dr. Luis Edmundo Vásquez</v>
      </c>
      <c r="L288" s="13" t="str">
        <f t="array" ref="L288">_xlfn.XLOOKUP(D288, Equipos!A:A, Equipos!B:B)</f>
        <v>Rayos X</v>
      </c>
      <c r="M288" s="9" t="str">
        <f t="array" ref="M288">_xlfn.XLOOKUP(F288, Tipo_Mtto!A:A, Tipo_Mtto!B:B)</f>
        <v>Instalación</v>
      </c>
    </row>
    <row r="289" ht="14.25" customHeight="1">
      <c r="A289" s="9" t="s">
        <v>386</v>
      </c>
      <c r="B289" s="10">
        <v>46257.0</v>
      </c>
      <c r="C289" s="9" t="s">
        <v>70</v>
      </c>
      <c r="D289" s="14" t="s">
        <v>87</v>
      </c>
      <c r="E289" s="9" t="s">
        <v>11</v>
      </c>
      <c r="F289" s="9" t="s">
        <v>23</v>
      </c>
      <c r="G289" s="11">
        <v>214.0</v>
      </c>
      <c r="H289" s="9">
        <v>8.0</v>
      </c>
      <c r="I289" s="12" t="str">
        <f t="array" ref="I289">_xlfn.XLOOKUP(C289, Clientes!A:A, Clientes!C:C) &amp; ", El Salvador"</f>
        <v>San Vicente, El Salvador</v>
      </c>
      <c r="J289" s="13" t="str">
        <f t="array" ref="J289">_xlfn.XLOOKUP(E289, Tecnicos!A:A, Tecnicos!B:B)</f>
        <v>Carlos Mendoza</v>
      </c>
      <c r="K289" s="13" t="str">
        <f t="array" ref="K289">_xlfn.XLOOKUP(C289, Clientes!A:A, Clientes!B:B)</f>
        <v>Hospital Santa Gertrudis</v>
      </c>
      <c r="L289" s="13" t="str">
        <f t="array" ref="L289">_xlfn.XLOOKUP(D289, Equipos!A:A, Equipos!B:B)</f>
        <v>Desfibrilador</v>
      </c>
      <c r="M289" s="9" t="str">
        <f t="array" ref="M289">_xlfn.XLOOKUP(F289, Tipo_Mtto!A:A, Tipo_Mtto!B:B)</f>
        <v>Correctivo</v>
      </c>
    </row>
    <row r="290" ht="14.25" customHeight="1">
      <c r="A290" s="9" t="s">
        <v>387</v>
      </c>
      <c r="B290" s="10">
        <v>46260.0</v>
      </c>
      <c r="C290" s="9" t="s">
        <v>83</v>
      </c>
      <c r="D290" s="14" t="s">
        <v>36</v>
      </c>
      <c r="E290" s="9" t="s">
        <v>25</v>
      </c>
      <c r="F290" s="9" t="s">
        <v>35</v>
      </c>
      <c r="G290" s="11">
        <v>2038.0</v>
      </c>
      <c r="H290" s="9">
        <v>6.0</v>
      </c>
      <c r="I290" s="12" t="str">
        <f t="array" ref="I290">_xlfn.XLOOKUP(C290, Clientes!A:A, Clientes!C:C) &amp; ", El Salvador"</f>
        <v>Morazán, El Salvador</v>
      </c>
      <c r="J290" s="13" t="str">
        <f t="array" ref="J290">_xlfn.XLOOKUP(E290, Tecnicos!A:A, Tecnicos!B:B)</f>
        <v>Sofía Rodas</v>
      </c>
      <c r="K290" s="13" t="str">
        <f t="array" ref="K290">_xlfn.XLOOKUP(C290, Clientes!A:A, Clientes!B:B)</f>
        <v>Hospital de San Francisco Gotera</v>
      </c>
      <c r="L290" s="13" t="str">
        <f t="array" ref="L290">_xlfn.XLOOKUP(D290, Equipos!A:A, Equipos!B:B)</f>
        <v>Ultrasonido</v>
      </c>
      <c r="M290" s="9" t="str">
        <f t="array" ref="M290">_xlfn.XLOOKUP(F290, Tipo_Mtto!A:A, Tipo_Mtto!B:B)</f>
        <v>Instalación</v>
      </c>
    </row>
    <row r="291" ht="14.25" customHeight="1">
      <c r="A291" s="9" t="s">
        <v>388</v>
      </c>
      <c r="B291" s="10">
        <v>46261.0</v>
      </c>
      <c r="C291" s="9" t="s">
        <v>13</v>
      </c>
      <c r="D291" s="14" t="s">
        <v>87</v>
      </c>
      <c r="E291" s="9" t="s">
        <v>51</v>
      </c>
      <c r="F291" s="9" t="s">
        <v>14</v>
      </c>
      <c r="G291" s="11">
        <v>1909.0</v>
      </c>
      <c r="H291" s="9">
        <v>5.0</v>
      </c>
      <c r="I291" s="12" t="str">
        <f t="array" ref="I291">_xlfn.XLOOKUP(C291, Clientes!A:A, Clientes!C:C) &amp; ", El Salvador"</f>
        <v>Ahuachapán, El Salvador</v>
      </c>
      <c r="J291" s="13" t="str">
        <f t="array" ref="J291">_xlfn.XLOOKUP(E291, Tecnicos!A:A, Tecnicos!B:B)</f>
        <v>Luis Martínez</v>
      </c>
      <c r="K291" s="13" t="str">
        <f t="array" ref="K291">_xlfn.XLOOKUP(C291, Clientes!A:A, Clientes!B:B)</f>
        <v>Hospital Nacional de Ahuachapán</v>
      </c>
      <c r="L291" s="13" t="str">
        <f t="array" ref="L291">_xlfn.XLOOKUP(D291, Equipos!A:A, Equipos!B:B)</f>
        <v>Desfibrilador</v>
      </c>
      <c r="M291" s="9" t="str">
        <f t="array" ref="M291">_xlfn.XLOOKUP(F291, Tipo_Mtto!A:A, Tipo_Mtto!B:B)</f>
        <v>Preventivo Programado</v>
      </c>
    </row>
    <row r="292" ht="14.25" customHeight="1">
      <c r="A292" s="9" t="s">
        <v>389</v>
      </c>
      <c r="B292" s="10">
        <v>46263.0</v>
      </c>
      <c r="C292" s="9" t="s">
        <v>83</v>
      </c>
      <c r="D292" s="14" t="s">
        <v>17</v>
      </c>
      <c r="E292" s="9" t="s">
        <v>33</v>
      </c>
      <c r="F292" s="9" t="s">
        <v>14</v>
      </c>
      <c r="G292" s="11">
        <v>324.0</v>
      </c>
      <c r="H292" s="9">
        <v>3.0</v>
      </c>
      <c r="I292" s="12" t="str">
        <f t="array" ref="I292">_xlfn.XLOOKUP(C292, Clientes!A:A, Clientes!C:C) &amp; ", El Salvador"</f>
        <v>Morazán, El Salvador</v>
      </c>
      <c r="J292" s="13" t="str">
        <f t="array" ref="J292">_xlfn.XLOOKUP(E292, Tecnicos!A:A, Tecnicos!B:B)</f>
        <v>Juan Pérez</v>
      </c>
      <c r="K292" s="13" t="str">
        <f t="array" ref="K292">_xlfn.XLOOKUP(C292, Clientes!A:A, Clientes!B:B)</f>
        <v>Hospital de San Francisco Gotera</v>
      </c>
      <c r="L292" s="13" t="str">
        <f t="array" ref="L292">_xlfn.XLOOKUP(D292, Equipos!A:A, Equipos!B:B)</f>
        <v>Rayos X</v>
      </c>
      <c r="M292" s="9" t="str">
        <f t="array" ref="M292">_xlfn.XLOOKUP(F292, Tipo_Mtto!A:A, Tipo_Mtto!B:B)</f>
        <v>Preventivo Programado</v>
      </c>
    </row>
    <row r="293" ht="14.25" customHeight="1">
      <c r="A293" s="9" t="s">
        <v>390</v>
      </c>
      <c r="B293" s="10">
        <v>46267.0</v>
      </c>
      <c r="C293" s="9" t="s">
        <v>50</v>
      </c>
      <c r="D293" s="14" t="s">
        <v>71</v>
      </c>
      <c r="E293" s="9" t="s">
        <v>51</v>
      </c>
      <c r="F293" s="9" t="s">
        <v>14</v>
      </c>
      <c r="G293" s="11">
        <v>1659.0</v>
      </c>
      <c r="H293" s="9">
        <v>12.0</v>
      </c>
      <c r="I293" s="12" t="str">
        <f t="array" ref="I293">_xlfn.XLOOKUP(C293, Clientes!A:A, Clientes!C:C) &amp; ", El Salvador"</f>
        <v>La Libertad, El Salvador</v>
      </c>
      <c r="J293" s="13" t="str">
        <f t="array" ref="J293">_xlfn.XLOOKUP(E293, Tecnicos!A:A, Tecnicos!B:B)</f>
        <v>Luis Martínez</v>
      </c>
      <c r="K293" s="13" t="str">
        <f t="array" ref="K293">_xlfn.XLOOKUP(C293, Clientes!A:A, Clientes!B:B)</f>
        <v>Hospital San Rafael</v>
      </c>
      <c r="L293" s="13" t="str">
        <f t="array" ref="L293">_xlfn.XLOOKUP(D293, Equipos!A:A, Equipos!B:B)</f>
        <v>Ventilador</v>
      </c>
      <c r="M293" s="9" t="str">
        <f t="array" ref="M293">_xlfn.XLOOKUP(F293, Tipo_Mtto!A:A, Tipo_Mtto!B:B)</f>
        <v>Preventivo Programado</v>
      </c>
    </row>
    <row r="294" ht="14.25" customHeight="1">
      <c r="A294" s="9" t="s">
        <v>391</v>
      </c>
      <c r="B294" s="10">
        <v>46273.0</v>
      </c>
      <c r="C294" s="9" t="s">
        <v>58</v>
      </c>
      <c r="D294" s="14" t="s">
        <v>36</v>
      </c>
      <c r="E294" s="9" t="s">
        <v>25</v>
      </c>
      <c r="F294" s="9" t="s">
        <v>23</v>
      </c>
      <c r="G294" s="11">
        <v>2289.0</v>
      </c>
      <c r="H294" s="9">
        <v>12.0</v>
      </c>
      <c r="I294" s="12" t="str">
        <f t="array" ref="I294">_xlfn.XLOOKUP(C294, Clientes!A:A, Clientes!C:C) &amp; ", El Salvador"</f>
        <v>Cuscatlán, El Salvador</v>
      </c>
      <c r="J294" s="13" t="str">
        <f t="array" ref="J294">_xlfn.XLOOKUP(E294, Tecnicos!A:A, Tecnicos!B:B)</f>
        <v>Sofía Rodas</v>
      </c>
      <c r="K294" s="13" t="str">
        <f t="array" ref="K294">_xlfn.XLOOKUP(C294, Clientes!A:A, Clientes!B:B)</f>
        <v>Hospital de Cojutepeque</v>
      </c>
      <c r="L294" s="13" t="str">
        <f t="array" ref="L294">_xlfn.XLOOKUP(D294, Equipos!A:A, Equipos!B:B)</f>
        <v>Ultrasonido</v>
      </c>
      <c r="M294" s="9" t="str">
        <f t="array" ref="M294">_xlfn.XLOOKUP(F294, Tipo_Mtto!A:A, Tipo_Mtto!B:B)</f>
        <v>Correctivo</v>
      </c>
    </row>
    <row r="295" ht="14.25" customHeight="1">
      <c r="A295" s="9" t="s">
        <v>392</v>
      </c>
      <c r="B295" s="10">
        <v>46276.0</v>
      </c>
      <c r="C295" s="9" t="s">
        <v>50</v>
      </c>
      <c r="D295" s="14" t="s">
        <v>63</v>
      </c>
      <c r="E295" s="9" t="s">
        <v>25</v>
      </c>
      <c r="F295" s="9" t="s">
        <v>23</v>
      </c>
      <c r="G295" s="11">
        <v>2376.0</v>
      </c>
      <c r="H295" s="9">
        <v>10.0</v>
      </c>
      <c r="I295" s="12" t="str">
        <f t="array" ref="I295">_xlfn.XLOOKUP(C295, Clientes!A:A, Clientes!C:C) &amp; ", El Salvador"</f>
        <v>La Libertad, El Salvador</v>
      </c>
      <c r="J295" s="13" t="str">
        <f t="array" ref="J295">_xlfn.XLOOKUP(E295, Tecnicos!A:A, Tecnicos!B:B)</f>
        <v>Sofía Rodas</v>
      </c>
      <c r="K295" s="13" t="str">
        <f t="array" ref="K295">_xlfn.XLOOKUP(C295, Clientes!A:A, Clientes!B:B)</f>
        <v>Hospital San Rafael</v>
      </c>
      <c r="L295" s="13" t="str">
        <f t="array" ref="L295">_xlfn.XLOOKUP(D295, Equipos!A:A, Equipos!B:B)</f>
        <v>Monitor</v>
      </c>
      <c r="M295" s="9" t="str">
        <f t="array" ref="M295">_xlfn.XLOOKUP(F295, Tipo_Mtto!A:A, Tipo_Mtto!B:B)</f>
        <v>Correctivo</v>
      </c>
    </row>
    <row r="296" ht="14.25" customHeight="1">
      <c r="A296" s="9" t="s">
        <v>393</v>
      </c>
      <c r="B296" s="10">
        <v>46277.0</v>
      </c>
      <c r="C296" s="9" t="s">
        <v>55</v>
      </c>
      <c r="D296" s="14" t="s">
        <v>71</v>
      </c>
      <c r="E296" s="9" t="s">
        <v>25</v>
      </c>
      <c r="F296" s="9" t="s">
        <v>35</v>
      </c>
      <c r="G296" s="11">
        <v>384.0</v>
      </c>
      <c r="H296" s="9">
        <v>1.0</v>
      </c>
      <c r="I296" s="12" t="str">
        <f t="array" ref="I296">_xlfn.XLOOKUP(C296, Clientes!A:A, Clientes!C:C) &amp; ", El Salvador"</f>
        <v>San Salvador, El Salvador</v>
      </c>
      <c r="J296" s="13" t="str">
        <f t="array" ref="J296">_xlfn.XLOOKUP(E296, Tecnicos!A:A, Tecnicos!B:B)</f>
        <v>Sofía Rodas</v>
      </c>
      <c r="K296" s="13" t="str">
        <f t="array" ref="K296">_xlfn.XLOOKUP(C296, Clientes!A:A, Clientes!B:B)</f>
        <v>Hospital Nacional Rosales</v>
      </c>
      <c r="L296" s="13" t="str">
        <f t="array" ref="L296">_xlfn.XLOOKUP(D296, Equipos!A:A, Equipos!B:B)</f>
        <v>Ventilador</v>
      </c>
      <c r="M296" s="9" t="str">
        <f t="array" ref="M296">_xlfn.XLOOKUP(F296, Tipo_Mtto!A:A, Tipo_Mtto!B:B)</f>
        <v>Instalación</v>
      </c>
    </row>
    <row r="297" ht="14.25" customHeight="1">
      <c r="A297" s="9" t="s">
        <v>394</v>
      </c>
      <c r="B297" s="10">
        <v>46283.0</v>
      </c>
      <c r="C297" s="9" t="s">
        <v>80</v>
      </c>
      <c r="D297" s="14" t="s">
        <v>63</v>
      </c>
      <c r="E297" s="9" t="s">
        <v>45</v>
      </c>
      <c r="F297" s="9" t="s">
        <v>35</v>
      </c>
      <c r="G297" s="11">
        <v>986.0</v>
      </c>
      <c r="H297" s="9">
        <v>7.0</v>
      </c>
      <c r="I297" s="12" t="str">
        <f t="array" ref="I297">_xlfn.XLOOKUP(C297, Clientes!A:A, Clientes!C:C) &amp; ", El Salvador"</f>
        <v>San Miguel, El Salvador</v>
      </c>
      <c r="J297" s="13" t="str">
        <f t="array" ref="J297">_xlfn.XLOOKUP(E297, Tecnicos!A:A, Tecnicos!B:B)</f>
        <v>Elena Gómez</v>
      </c>
      <c r="K297" s="13" t="str">
        <f t="array" ref="K297">_xlfn.XLOOKUP(C297, Clientes!A:A, Clientes!B:B)</f>
        <v>Hospital San Juan de Dios</v>
      </c>
      <c r="L297" s="13" t="str">
        <f t="array" ref="L297">_xlfn.XLOOKUP(D297, Equipos!A:A, Equipos!B:B)</f>
        <v>Monitor</v>
      </c>
      <c r="M297" s="9" t="str">
        <f t="array" ref="M297">_xlfn.XLOOKUP(F297, Tipo_Mtto!A:A, Tipo_Mtto!B:B)</f>
        <v>Instalación</v>
      </c>
    </row>
    <row r="298" ht="14.25" customHeight="1">
      <c r="A298" s="9" t="s">
        <v>395</v>
      </c>
      <c r="B298" s="10">
        <v>46284.0</v>
      </c>
      <c r="C298" s="9" t="s">
        <v>55</v>
      </c>
      <c r="D298" s="14" t="s">
        <v>87</v>
      </c>
      <c r="E298" s="9" t="s">
        <v>11</v>
      </c>
      <c r="F298" s="9" t="s">
        <v>14</v>
      </c>
      <c r="G298" s="11">
        <v>1577.0</v>
      </c>
      <c r="H298" s="9">
        <v>12.0</v>
      </c>
      <c r="I298" s="12" t="str">
        <f t="array" ref="I298">_xlfn.XLOOKUP(C298, Clientes!A:A, Clientes!C:C) &amp; ", El Salvador"</f>
        <v>San Salvador, El Salvador</v>
      </c>
      <c r="J298" s="13" t="str">
        <f t="array" ref="J298">_xlfn.XLOOKUP(E298, Tecnicos!A:A, Tecnicos!B:B)</f>
        <v>Carlos Mendoza</v>
      </c>
      <c r="K298" s="13" t="str">
        <f t="array" ref="K298">_xlfn.XLOOKUP(C298, Clientes!A:A, Clientes!B:B)</f>
        <v>Hospital Nacional Rosales</v>
      </c>
      <c r="L298" s="13" t="str">
        <f t="array" ref="L298">_xlfn.XLOOKUP(D298, Equipos!A:A, Equipos!B:B)</f>
        <v>Desfibrilador</v>
      </c>
      <c r="M298" s="9" t="str">
        <f t="array" ref="M298">_xlfn.XLOOKUP(F298, Tipo_Mtto!A:A, Tipo_Mtto!B:B)</f>
        <v>Preventivo Programado</v>
      </c>
    </row>
    <row r="299" ht="14.25" customHeight="1">
      <c r="A299" s="9" t="s">
        <v>396</v>
      </c>
      <c r="B299" s="10">
        <v>46288.0</v>
      </c>
      <c r="C299" s="9" t="s">
        <v>65</v>
      </c>
      <c r="D299" s="14" t="s">
        <v>79</v>
      </c>
      <c r="E299" s="9" t="s">
        <v>45</v>
      </c>
      <c r="F299" s="9" t="s">
        <v>14</v>
      </c>
      <c r="G299" s="11">
        <v>828.0</v>
      </c>
      <c r="H299" s="9">
        <v>8.0</v>
      </c>
      <c r="I299" s="12" t="str">
        <f t="array" ref="I299">_xlfn.XLOOKUP(C299, Clientes!A:A, Clientes!C:C) &amp; ", El Salvador"</f>
        <v>Cabañas, El Salvador</v>
      </c>
      <c r="J299" s="13" t="str">
        <f t="array" ref="J299">_xlfn.XLOOKUP(E299, Tecnicos!A:A, Tecnicos!B:B)</f>
        <v>Elena Gómez</v>
      </c>
      <c r="K299" s="13" t="str">
        <f t="array" ref="K299">_xlfn.XLOOKUP(C299, Clientes!A:A, Clientes!B:B)</f>
        <v>Hospital de Sensuntepeque</v>
      </c>
      <c r="L299" s="13" t="str">
        <f t="array" ref="L299">_xlfn.XLOOKUP(D299, Equipos!A:A, Equipos!B:B)</f>
        <v>Incubadora</v>
      </c>
      <c r="M299" s="9" t="str">
        <f t="array" ref="M299">_xlfn.XLOOKUP(F299, Tipo_Mtto!A:A, Tipo_Mtto!B:B)</f>
        <v>Preventivo Programado</v>
      </c>
    </row>
    <row r="300" ht="14.25" customHeight="1">
      <c r="A300" s="9" t="s">
        <v>397</v>
      </c>
      <c r="B300" s="10">
        <v>46290.0</v>
      </c>
      <c r="C300" s="9" t="s">
        <v>61</v>
      </c>
      <c r="D300" s="14" t="s">
        <v>87</v>
      </c>
      <c r="E300" s="9" t="s">
        <v>25</v>
      </c>
      <c r="F300" s="9" t="s">
        <v>35</v>
      </c>
      <c r="G300" s="11">
        <v>832.0</v>
      </c>
      <c r="H300" s="9">
        <v>2.0</v>
      </c>
      <c r="I300" s="12" t="str">
        <f t="array" ref="I300">_xlfn.XLOOKUP(C300, Clientes!A:A, Clientes!C:C) &amp; ", El Salvador"</f>
        <v>La Paz, El Salvador</v>
      </c>
      <c r="J300" s="13" t="str">
        <f t="array" ref="J300">_xlfn.XLOOKUP(E300, Tecnicos!A:A, Tecnicos!B:B)</f>
        <v>Sofía Rodas</v>
      </c>
      <c r="K300" s="13" t="str">
        <f t="array" ref="K300">_xlfn.XLOOKUP(C300, Clientes!A:A, Clientes!B:B)</f>
        <v>Hospital Santa Teresa</v>
      </c>
      <c r="L300" s="13" t="str">
        <f t="array" ref="L300">_xlfn.XLOOKUP(D300, Equipos!A:A, Equipos!B:B)</f>
        <v>Desfibrilador</v>
      </c>
      <c r="M300" s="9" t="str">
        <f t="array" ref="M300">_xlfn.XLOOKUP(F300, Tipo_Mtto!A:A, Tipo_Mtto!B:B)</f>
        <v>Instalación</v>
      </c>
    </row>
    <row r="301" ht="14.25" customHeight="1">
      <c r="A301" s="9" t="s">
        <v>398</v>
      </c>
      <c r="B301" s="10">
        <v>46293.0</v>
      </c>
      <c r="C301" s="9" t="s">
        <v>24</v>
      </c>
      <c r="D301" s="14" t="s">
        <v>17</v>
      </c>
      <c r="E301" s="9" t="s">
        <v>11</v>
      </c>
      <c r="F301" s="9" t="s">
        <v>23</v>
      </c>
      <c r="G301" s="11">
        <v>439.0</v>
      </c>
      <c r="H301" s="9">
        <v>8.0</v>
      </c>
      <c r="I301" s="12" t="str">
        <f t="array" ref="I301">_xlfn.XLOOKUP(C301, Clientes!A:A, Clientes!C:C) &amp; ", El Salvador"</f>
        <v>Santa Ana, El Salvador</v>
      </c>
      <c r="J301" s="13" t="str">
        <f t="array" ref="J301">_xlfn.XLOOKUP(E301, Tecnicos!A:A, Tecnicos!B:B)</f>
        <v>Carlos Mendoza</v>
      </c>
      <c r="K301" s="13" t="str">
        <f t="array" ref="K301">_xlfn.XLOOKUP(C301, Clientes!A:A, Clientes!B:B)</f>
        <v>Hospital San Juan de Dios</v>
      </c>
      <c r="L301" s="13" t="str">
        <f t="array" ref="L301">_xlfn.XLOOKUP(D301, Equipos!A:A, Equipos!B:B)</f>
        <v>Rayos X</v>
      </c>
      <c r="M301" s="9" t="str">
        <f t="array" ref="M301">_xlfn.XLOOKUP(F301, Tipo_Mtto!A:A, Tipo_Mtto!B:B)</f>
        <v>Correctivo</v>
      </c>
    </row>
    <row r="302" ht="14.25" customHeight="1">
      <c r="A302" s="9" t="s">
        <v>399</v>
      </c>
      <c r="B302" s="10">
        <v>46297.0</v>
      </c>
      <c r="C302" s="9" t="s">
        <v>80</v>
      </c>
      <c r="D302" s="14" t="s">
        <v>63</v>
      </c>
      <c r="E302" s="9" t="s">
        <v>11</v>
      </c>
      <c r="F302" s="9" t="s">
        <v>14</v>
      </c>
      <c r="G302" s="11">
        <v>528.0</v>
      </c>
      <c r="H302" s="9">
        <v>9.0</v>
      </c>
      <c r="I302" s="12" t="str">
        <f t="array" ref="I302">_xlfn.XLOOKUP(C302, Clientes!A:A, Clientes!C:C) &amp; ", El Salvador"</f>
        <v>San Miguel, El Salvador</v>
      </c>
      <c r="J302" s="13" t="str">
        <f t="array" ref="J302">_xlfn.XLOOKUP(E302, Tecnicos!A:A, Tecnicos!B:B)</f>
        <v>Carlos Mendoza</v>
      </c>
      <c r="K302" s="13" t="str">
        <f t="array" ref="K302">_xlfn.XLOOKUP(C302, Clientes!A:A, Clientes!B:B)</f>
        <v>Hospital San Juan de Dios</v>
      </c>
      <c r="L302" s="13" t="str">
        <f t="array" ref="L302">_xlfn.XLOOKUP(D302, Equipos!A:A, Equipos!B:B)</f>
        <v>Monitor</v>
      </c>
      <c r="M302" s="9" t="str">
        <f t="array" ref="M302">_xlfn.XLOOKUP(F302, Tipo_Mtto!A:A, Tipo_Mtto!B:B)</f>
        <v>Preventivo Programado</v>
      </c>
    </row>
    <row r="303" ht="14.25" customHeight="1">
      <c r="A303" s="9" t="s">
        <v>400</v>
      </c>
      <c r="B303" s="10">
        <v>46301.0</v>
      </c>
      <c r="C303" s="9" t="s">
        <v>61</v>
      </c>
      <c r="D303" s="14" t="s">
        <v>71</v>
      </c>
      <c r="E303" s="9" t="s">
        <v>25</v>
      </c>
      <c r="F303" s="9" t="s">
        <v>23</v>
      </c>
      <c r="G303" s="11">
        <v>698.0</v>
      </c>
      <c r="H303" s="9">
        <v>12.0</v>
      </c>
      <c r="I303" s="12" t="str">
        <f t="array" ref="I303">_xlfn.XLOOKUP(C303, Clientes!A:A, Clientes!C:C) &amp; ", El Salvador"</f>
        <v>La Paz, El Salvador</v>
      </c>
      <c r="J303" s="13" t="str">
        <f t="array" ref="J303">_xlfn.XLOOKUP(E303, Tecnicos!A:A, Tecnicos!B:B)</f>
        <v>Sofía Rodas</v>
      </c>
      <c r="K303" s="13" t="str">
        <f t="array" ref="K303">_xlfn.XLOOKUP(C303, Clientes!A:A, Clientes!B:B)</f>
        <v>Hospital Santa Teresa</v>
      </c>
      <c r="L303" s="13" t="str">
        <f t="array" ref="L303">_xlfn.XLOOKUP(D303, Equipos!A:A, Equipos!B:B)</f>
        <v>Ventilador</v>
      </c>
      <c r="M303" s="9" t="str">
        <f t="array" ref="M303">_xlfn.XLOOKUP(F303, Tipo_Mtto!A:A, Tipo_Mtto!B:B)</f>
        <v>Correctivo</v>
      </c>
    </row>
    <row r="304" ht="14.25" customHeight="1">
      <c r="A304" s="9" t="s">
        <v>401</v>
      </c>
      <c r="B304" s="10">
        <v>46305.0</v>
      </c>
      <c r="C304" s="9" t="s">
        <v>58</v>
      </c>
      <c r="D304" s="14" t="s">
        <v>87</v>
      </c>
      <c r="E304" s="9" t="s">
        <v>45</v>
      </c>
      <c r="F304" s="9" t="s">
        <v>23</v>
      </c>
      <c r="G304" s="11">
        <v>288.0</v>
      </c>
      <c r="H304" s="9">
        <v>2.0</v>
      </c>
      <c r="I304" s="12" t="str">
        <f t="array" ref="I304">_xlfn.XLOOKUP(C304, Clientes!A:A, Clientes!C:C) &amp; ", El Salvador"</f>
        <v>Cuscatlán, El Salvador</v>
      </c>
      <c r="J304" s="13" t="str">
        <f t="array" ref="J304">_xlfn.XLOOKUP(E304, Tecnicos!A:A, Tecnicos!B:B)</f>
        <v>Elena Gómez</v>
      </c>
      <c r="K304" s="13" t="str">
        <f t="array" ref="K304">_xlfn.XLOOKUP(C304, Clientes!A:A, Clientes!B:B)</f>
        <v>Hospital de Cojutepeque</v>
      </c>
      <c r="L304" s="13" t="str">
        <f t="array" ref="L304">_xlfn.XLOOKUP(D304, Equipos!A:A, Equipos!B:B)</f>
        <v>Desfibrilador</v>
      </c>
      <c r="M304" s="9" t="str">
        <f t="array" ref="M304">_xlfn.XLOOKUP(F304, Tipo_Mtto!A:A, Tipo_Mtto!B:B)</f>
        <v>Correctivo</v>
      </c>
    </row>
    <row r="305" ht="14.25" customHeight="1">
      <c r="A305" s="9" t="s">
        <v>402</v>
      </c>
      <c r="B305" s="10">
        <v>46306.0</v>
      </c>
      <c r="C305" s="9" t="s">
        <v>83</v>
      </c>
      <c r="D305" s="14" t="s">
        <v>87</v>
      </c>
      <c r="E305" s="9" t="s">
        <v>11</v>
      </c>
      <c r="F305" s="9" t="s">
        <v>14</v>
      </c>
      <c r="G305" s="11">
        <v>1591.0</v>
      </c>
      <c r="H305" s="9">
        <v>1.0</v>
      </c>
      <c r="I305" s="12" t="str">
        <f t="array" ref="I305">_xlfn.XLOOKUP(C305, Clientes!A:A, Clientes!C:C) &amp; ", El Salvador"</f>
        <v>Morazán, El Salvador</v>
      </c>
      <c r="J305" s="13" t="str">
        <f t="array" ref="J305">_xlfn.XLOOKUP(E305, Tecnicos!A:A, Tecnicos!B:B)</f>
        <v>Carlos Mendoza</v>
      </c>
      <c r="K305" s="13" t="str">
        <f t="array" ref="K305">_xlfn.XLOOKUP(C305, Clientes!A:A, Clientes!B:B)</f>
        <v>Hospital de San Francisco Gotera</v>
      </c>
      <c r="L305" s="13" t="str">
        <f t="array" ref="L305">_xlfn.XLOOKUP(D305, Equipos!A:A, Equipos!B:B)</f>
        <v>Desfibrilador</v>
      </c>
      <c r="M305" s="9" t="str">
        <f t="array" ref="M305">_xlfn.XLOOKUP(F305, Tipo_Mtto!A:A, Tipo_Mtto!B:B)</f>
        <v>Preventivo Programado</v>
      </c>
    </row>
    <row r="306" ht="14.25" customHeight="1">
      <c r="A306" s="9" t="s">
        <v>403</v>
      </c>
      <c r="B306" s="10">
        <v>46312.0</v>
      </c>
      <c r="C306" s="9" t="s">
        <v>55</v>
      </c>
      <c r="D306" s="14" t="s">
        <v>71</v>
      </c>
      <c r="E306" s="9" t="s">
        <v>11</v>
      </c>
      <c r="F306" s="9" t="s">
        <v>23</v>
      </c>
      <c r="G306" s="11">
        <v>1848.0</v>
      </c>
      <c r="H306" s="9">
        <v>9.0</v>
      </c>
      <c r="I306" s="12" t="str">
        <f t="array" ref="I306">_xlfn.XLOOKUP(C306, Clientes!A:A, Clientes!C:C) &amp; ", El Salvador"</f>
        <v>San Salvador, El Salvador</v>
      </c>
      <c r="J306" s="13" t="str">
        <f t="array" ref="J306">_xlfn.XLOOKUP(E306, Tecnicos!A:A, Tecnicos!B:B)</f>
        <v>Carlos Mendoza</v>
      </c>
      <c r="K306" s="13" t="str">
        <f t="array" ref="K306">_xlfn.XLOOKUP(C306, Clientes!A:A, Clientes!B:B)</f>
        <v>Hospital Nacional Rosales</v>
      </c>
      <c r="L306" s="13" t="str">
        <f t="array" ref="L306">_xlfn.XLOOKUP(D306, Equipos!A:A, Equipos!B:B)</f>
        <v>Ventilador</v>
      </c>
      <c r="M306" s="9" t="str">
        <f t="array" ref="M306">_xlfn.XLOOKUP(F306, Tipo_Mtto!A:A, Tipo_Mtto!B:B)</f>
        <v>Correctivo</v>
      </c>
    </row>
    <row r="307" ht="14.25" customHeight="1">
      <c r="A307" s="9" t="s">
        <v>404</v>
      </c>
      <c r="B307" s="10">
        <v>46317.0</v>
      </c>
      <c r="C307" s="9" t="s">
        <v>70</v>
      </c>
      <c r="D307" s="14" t="s">
        <v>79</v>
      </c>
      <c r="E307" s="9" t="s">
        <v>45</v>
      </c>
      <c r="F307" s="9" t="s">
        <v>23</v>
      </c>
      <c r="G307" s="11">
        <v>1550.0</v>
      </c>
      <c r="H307" s="9">
        <v>4.0</v>
      </c>
      <c r="I307" s="12" t="str">
        <f t="array" ref="I307">_xlfn.XLOOKUP(C307, Clientes!A:A, Clientes!C:C) &amp; ", El Salvador"</f>
        <v>San Vicente, El Salvador</v>
      </c>
      <c r="J307" s="13" t="str">
        <f t="array" ref="J307">_xlfn.XLOOKUP(E307, Tecnicos!A:A, Tecnicos!B:B)</f>
        <v>Elena Gómez</v>
      </c>
      <c r="K307" s="13" t="str">
        <f t="array" ref="K307">_xlfn.XLOOKUP(C307, Clientes!A:A, Clientes!B:B)</f>
        <v>Hospital Santa Gertrudis</v>
      </c>
      <c r="L307" s="13" t="str">
        <f t="array" ref="L307">_xlfn.XLOOKUP(D307, Equipos!A:A, Equipos!B:B)</f>
        <v>Incubadora</v>
      </c>
      <c r="M307" s="9" t="str">
        <f t="array" ref="M307">_xlfn.XLOOKUP(F307, Tipo_Mtto!A:A, Tipo_Mtto!B:B)</f>
        <v>Correctivo</v>
      </c>
    </row>
    <row r="308" ht="14.25" customHeight="1">
      <c r="A308" s="9" t="s">
        <v>405</v>
      </c>
      <c r="B308" s="10">
        <v>46322.0</v>
      </c>
      <c r="C308" s="9" t="s">
        <v>50</v>
      </c>
      <c r="D308" s="14" t="s">
        <v>63</v>
      </c>
      <c r="E308" s="9" t="s">
        <v>45</v>
      </c>
      <c r="F308" s="9" t="s">
        <v>35</v>
      </c>
      <c r="G308" s="11">
        <v>1807.0</v>
      </c>
      <c r="H308" s="9">
        <v>2.0</v>
      </c>
      <c r="I308" s="12" t="str">
        <f t="array" ref="I308">_xlfn.XLOOKUP(C308, Clientes!A:A, Clientes!C:C) &amp; ", El Salvador"</f>
        <v>La Libertad, El Salvador</v>
      </c>
      <c r="J308" s="13" t="str">
        <f t="array" ref="J308">_xlfn.XLOOKUP(E308, Tecnicos!A:A, Tecnicos!B:B)</f>
        <v>Elena Gómez</v>
      </c>
      <c r="K308" s="13" t="str">
        <f t="array" ref="K308">_xlfn.XLOOKUP(C308, Clientes!A:A, Clientes!B:B)</f>
        <v>Hospital San Rafael</v>
      </c>
      <c r="L308" s="13" t="str">
        <f t="array" ref="L308">_xlfn.XLOOKUP(D308, Equipos!A:A, Equipos!B:B)</f>
        <v>Monitor</v>
      </c>
      <c r="M308" s="9" t="str">
        <f t="array" ref="M308">_xlfn.XLOOKUP(F308, Tipo_Mtto!A:A, Tipo_Mtto!B:B)</f>
        <v>Instalación</v>
      </c>
    </row>
    <row r="309" ht="14.25" customHeight="1">
      <c r="A309" s="9" t="s">
        <v>406</v>
      </c>
      <c r="B309" s="10">
        <v>46328.0</v>
      </c>
      <c r="C309" s="9" t="s">
        <v>13</v>
      </c>
      <c r="D309" s="14" t="s">
        <v>71</v>
      </c>
      <c r="E309" s="9" t="s">
        <v>45</v>
      </c>
      <c r="F309" s="9" t="s">
        <v>14</v>
      </c>
      <c r="G309" s="11">
        <v>587.0</v>
      </c>
      <c r="H309" s="9">
        <v>1.0</v>
      </c>
      <c r="I309" s="12" t="str">
        <f t="array" ref="I309">_xlfn.XLOOKUP(C309, Clientes!A:A, Clientes!C:C) &amp; ", El Salvador"</f>
        <v>Ahuachapán, El Salvador</v>
      </c>
      <c r="J309" s="13" t="str">
        <f t="array" ref="J309">_xlfn.XLOOKUP(E309, Tecnicos!A:A, Tecnicos!B:B)</f>
        <v>Elena Gómez</v>
      </c>
      <c r="K309" s="13" t="str">
        <f t="array" ref="K309">_xlfn.XLOOKUP(C309, Clientes!A:A, Clientes!B:B)</f>
        <v>Hospital Nacional de Ahuachapán</v>
      </c>
      <c r="L309" s="13" t="str">
        <f t="array" ref="L309">_xlfn.XLOOKUP(D309, Equipos!A:A, Equipos!B:B)</f>
        <v>Ventilador</v>
      </c>
      <c r="M309" s="9" t="str">
        <f t="array" ref="M309">_xlfn.XLOOKUP(F309, Tipo_Mtto!A:A, Tipo_Mtto!B:B)</f>
        <v>Preventivo Programado</v>
      </c>
    </row>
    <row r="310" ht="14.25" customHeight="1">
      <c r="A310" s="9" t="s">
        <v>407</v>
      </c>
      <c r="B310" s="10">
        <v>46331.0</v>
      </c>
      <c r="C310" s="9" t="s">
        <v>24</v>
      </c>
      <c r="D310" s="14" t="s">
        <v>79</v>
      </c>
      <c r="E310" s="9" t="s">
        <v>25</v>
      </c>
      <c r="F310" s="9" t="s">
        <v>14</v>
      </c>
      <c r="G310" s="11">
        <v>1125.0</v>
      </c>
      <c r="H310" s="9">
        <v>1.0</v>
      </c>
      <c r="I310" s="12" t="str">
        <f t="array" ref="I310">_xlfn.XLOOKUP(C310, Clientes!A:A, Clientes!C:C) &amp; ", El Salvador"</f>
        <v>Santa Ana, El Salvador</v>
      </c>
      <c r="J310" s="13" t="str">
        <f t="array" ref="J310">_xlfn.XLOOKUP(E310, Tecnicos!A:A, Tecnicos!B:B)</f>
        <v>Sofía Rodas</v>
      </c>
      <c r="K310" s="13" t="str">
        <f t="array" ref="K310">_xlfn.XLOOKUP(C310, Clientes!A:A, Clientes!B:B)</f>
        <v>Hospital San Juan de Dios</v>
      </c>
      <c r="L310" s="13" t="str">
        <f t="array" ref="L310">_xlfn.XLOOKUP(D310, Equipos!A:A, Equipos!B:B)</f>
        <v>Incubadora</v>
      </c>
      <c r="M310" s="9" t="str">
        <f t="array" ref="M310">_xlfn.XLOOKUP(F310, Tipo_Mtto!A:A, Tipo_Mtto!B:B)</f>
        <v>Preventivo Programado</v>
      </c>
    </row>
    <row r="311" ht="14.25" customHeight="1">
      <c r="A311" s="9" t="s">
        <v>408</v>
      </c>
      <c r="B311" s="10">
        <v>46336.0</v>
      </c>
      <c r="C311" s="9" t="s">
        <v>75</v>
      </c>
      <c r="D311" s="14" t="s">
        <v>63</v>
      </c>
      <c r="E311" s="9" t="s">
        <v>51</v>
      </c>
      <c r="F311" s="9" t="s">
        <v>35</v>
      </c>
      <c r="G311" s="11">
        <v>191.0</v>
      </c>
      <c r="H311" s="9">
        <v>5.0</v>
      </c>
      <c r="I311" s="12" t="str">
        <f t="array" ref="I311">_xlfn.XLOOKUP(C311, Clientes!A:A, Clientes!C:C) &amp; ", El Salvador"</f>
        <v>Usulután, El Salvador</v>
      </c>
      <c r="J311" s="13" t="str">
        <f t="array" ref="J311">_xlfn.XLOOKUP(E311, Tecnicos!A:A, Tecnicos!B:B)</f>
        <v>Luis Martínez</v>
      </c>
      <c r="K311" s="13" t="str">
        <f t="array" ref="K311">_xlfn.XLOOKUP(C311, Clientes!A:A, Clientes!B:B)</f>
        <v>Hospital de Usulután</v>
      </c>
      <c r="L311" s="13" t="str">
        <f t="array" ref="L311">_xlfn.XLOOKUP(D311, Equipos!A:A, Equipos!B:B)</f>
        <v>Monitor</v>
      </c>
      <c r="M311" s="9" t="str">
        <f t="array" ref="M311">_xlfn.XLOOKUP(F311, Tipo_Mtto!A:A, Tipo_Mtto!B:B)</f>
        <v>Instalación</v>
      </c>
    </row>
    <row r="312" ht="14.25" customHeight="1">
      <c r="A312" s="9" t="s">
        <v>409</v>
      </c>
      <c r="B312" s="10">
        <v>46341.0</v>
      </c>
      <c r="C312" s="9" t="s">
        <v>50</v>
      </c>
      <c r="D312" s="14" t="s">
        <v>87</v>
      </c>
      <c r="E312" s="9" t="s">
        <v>25</v>
      </c>
      <c r="F312" s="9" t="s">
        <v>23</v>
      </c>
      <c r="G312" s="11">
        <v>1478.0</v>
      </c>
      <c r="H312" s="9">
        <v>7.0</v>
      </c>
      <c r="I312" s="12" t="str">
        <f t="array" ref="I312">_xlfn.XLOOKUP(C312, Clientes!A:A, Clientes!C:C) &amp; ", El Salvador"</f>
        <v>La Libertad, El Salvador</v>
      </c>
      <c r="J312" s="13" t="str">
        <f t="array" ref="J312">_xlfn.XLOOKUP(E312, Tecnicos!A:A, Tecnicos!B:B)</f>
        <v>Sofía Rodas</v>
      </c>
      <c r="K312" s="13" t="str">
        <f t="array" ref="K312">_xlfn.XLOOKUP(C312, Clientes!A:A, Clientes!B:B)</f>
        <v>Hospital San Rafael</v>
      </c>
      <c r="L312" s="13" t="str">
        <f t="array" ref="L312">_xlfn.XLOOKUP(D312, Equipos!A:A, Equipos!B:B)</f>
        <v>Desfibrilador</v>
      </c>
      <c r="M312" s="9" t="str">
        <f t="array" ref="M312">_xlfn.XLOOKUP(F312, Tipo_Mtto!A:A, Tipo_Mtto!B:B)</f>
        <v>Correctivo</v>
      </c>
    </row>
    <row r="313" ht="14.25" customHeight="1">
      <c r="A313" s="9" t="s">
        <v>410</v>
      </c>
      <c r="B313" s="10">
        <v>46345.0</v>
      </c>
      <c r="C313" s="9" t="s">
        <v>44</v>
      </c>
      <c r="D313" s="14" t="s">
        <v>71</v>
      </c>
      <c r="E313" s="9" t="s">
        <v>11</v>
      </c>
      <c r="F313" s="9" t="s">
        <v>14</v>
      </c>
      <c r="G313" s="11">
        <v>816.0</v>
      </c>
      <c r="H313" s="9">
        <v>5.0</v>
      </c>
      <c r="I313" s="12" t="str">
        <f t="array" ref="I313">_xlfn.XLOOKUP(C313, Clientes!A:A, Clientes!C:C) &amp; ", El Salvador"</f>
        <v>Chalatenango, El Salvador</v>
      </c>
      <c r="J313" s="13" t="str">
        <f t="array" ref="J313">_xlfn.XLOOKUP(E313, Tecnicos!A:A, Tecnicos!B:B)</f>
        <v>Carlos Mendoza</v>
      </c>
      <c r="K313" s="13" t="str">
        <f t="array" ref="K313">_xlfn.XLOOKUP(C313, Clientes!A:A, Clientes!B:B)</f>
        <v>Hospital Dr. Luis Edmundo Vásquez</v>
      </c>
      <c r="L313" s="13" t="str">
        <f t="array" ref="L313">_xlfn.XLOOKUP(D313, Equipos!A:A, Equipos!B:B)</f>
        <v>Ventilador</v>
      </c>
      <c r="M313" s="9" t="str">
        <f t="array" ref="M313">_xlfn.XLOOKUP(F313, Tipo_Mtto!A:A, Tipo_Mtto!B:B)</f>
        <v>Preventivo Programado</v>
      </c>
    </row>
    <row r="314" ht="14.25" customHeight="1">
      <c r="A314" s="9" t="s">
        <v>411</v>
      </c>
      <c r="B314" s="10">
        <v>46351.0</v>
      </c>
      <c r="C314" s="9" t="s">
        <v>88</v>
      </c>
      <c r="D314" s="14" t="s">
        <v>36</v>
      </c>
      <c r="E314" s="9" t="s">
        <v>11</v>
      </c>
      <c r="F314" s="9" t="s">
        <v>35</v>
      </c>
      <c r="G314" s="11">
        <v>979.0</v>
      </c>
      <c r="H314" s="9">
        <v>8.0</v>
      </c>
      <c r="I314" s="12" t="str">
        <f t="array" ref="I314">_xlfn.XLOOKUP(C314, Clientes!A:A, Clientes!C:C) &amp; ", El Salvador"</f>
        <v>La Unión, El Salvador</v>
      </c>
      <c r="J314" s="13" t="str">
        <f t="array" ref="J314">_xlfn.XLOOKUP(E314, Tecnicos!A:A, Tecnicos!B:B)</f>
        <v>Carlos Mendoza</v>
      </c>
      <c r="K314" s="13" t="str">
        <f t="array" ref="K314">_xlfn.XLOOKUP(C314, Clientes!A:A, Clientes!B:B)</f>
        <v>Hospital de La Unión</v>
      </c>
      <c r="L314" s="13" t="str">
        <f t="array" ref="L314">_xlfn.XLOOKUP(D314, Equipos!A:A, Equipos!B:B)</f>
        <v>Ultrasonido</v>
      </c>
      <c r="M314" s="9" t="str">
        <f t="array" ref="M314">_xlfn.XLOOKUP(F314, Tipo_Mtto!A:A, Tipo_Mtto!B:B)</f>
        <v>Instalación</v>
      </c>
    </row>
    <row r="315" ht="14.25" customHeight="1">
      <c r="A315" s="9" t="s">
        <v>412</v>
      </c>
      <c r="B315" s="10">
        <v>46354.0</v>
      </c>
      <c r="C315" s="9" t="s">
        <v>34</v>
      </c>
      <c r="D315" s="14" t="s">
        <v>71</v>
      </c>
      <c r="E315" s="9" t="s">
        <v>45</v>
      </c>
      <c r="F315" s="9" t="s">
        <v>14</v>
      </c>
      <c r="G315" s="11">
        <v>1677.0</v>
      </c>
      <c r="H315" s="9">
        <v>3.0</v>
      </c>
      <c r="I315" s="12" t="str">
        <f t="array" ref="I315">_xlfn.XLOOKUP(C315, Clientes!A:A, Clientes!C:C) &amp; ", El Salvador"</f>
        <v>Sonsonate, El Salvador</v>
      </c>
      <c r="J315" s="13" t="str">
        <f t="array" ref="J315">_xlfn.XLOOKUP(E315, Tecnicos!A:A, Tecnicos!B:B)</f>
        <v>Elena Gómez</v>
      </c>
      <c r="K315" s="13" t="str">
        <f t="array" ref="K315">_xlfn.XLOOKUP(C315, Clientes!A:A, Clientes!B:B)</f>
        <v>Hospital Jorge Mazzini</v>
      </c>
      <c r="L315" s="13" t="str">
        <f t="array" ref="L315">_xlfn.XLOOKUP(D315, Equipos!A:A, Equipos!B:B)</f>
        <v>Ventilador</v>
      </c>
      <c r="M315" s="9" t="str">
        <f t="array" ref="M315">_xlfn.XLOOKUP(F315, Tipo_Mtto!A:A, Tipo_Mtto!B:B)</f>
        <v>Preventivo Programado</v>
      </c>
    </row>
    <row r="316" ht="14.25" customHeight="1">
      <c r="A316" s="9" t="s">
        <v>413</v>
      </c>
      <c r="B316" s="10">
        <v>46357.0</v>
      </c>
      <c r="C316" s="9" t="s">
        <v>83</v>
      </c>
      <c r="D316" s="14" t="s">
        <v>36</v>
      </c>
      <c r="E316" s="9" t="s">
        <v>25</v>
      </c>
      <c r="F316" s="9" t="s">
        <v>23</v>
      </c>
      <c r="G316" s="11">
        <v>2216.0</v>
      </c>
      <c r="H316" s="9">
        <v>8.0</v>
      </c>
      <c r="I316" s="12" t="str">
        <f t="array" ref="I316">_xlfn.XLOOKUP(C316, Clientes!A:A, Clientes!C:C) &amp; ", El Salvador"</f>
        <v>Morazán, El Salvador</v>
      </c>
      <c r="J316" s="13" t="str">
        <f t="array" ref="J316">_xlfn.XLOOKUP(E316, Tecnicos!A:A, Tecnicos!B:B)</f>
        <v>Sofía Rodas</v>
      </c>
      <c r="K316" s="13" t="str">
        <f t="array" ref="K316">_xlfn.XLOOKUP(C316, Clientes!A:A, Clientes!B:B)</f>
        <v>Hospital de San Francisco Gotera</v>
      </c>
      <c r="L316" s="13" t="str">
        <f t="array" ref="L316">_xlfn.XLOOKUP(D316, Equipos!A:A, Equipos!B:B)</f>
        <v>Ultrasonido</v>
      </c>
      <c r="M316" s="9" t="str">
        <f t="array" ref="M316">_xlfn.XLOOKUP(F316, Tipo_Mtto!A:A, Tipo_Mtto!B:B)</f>
        <v>Correctivo</v>
      </c>
    </row>
    <row r="317" ht="14.25" customHeight="1">
      <c r="A317" s="9" t="s">
        <v>414</v>
      </c>
      <c r="B317" s="10">
        <v>46361.0</v>
      </c>
      <c r="C317" s="9" t="s">
        <v>44</v>
      </c>
      <c r="D317" s="14" t="s">
        <v>17</v>
      </c>
      <c r="E317" s="9" t="s">
        <v>51</v>
      </c>
      <c r="F317" s="9" t="s">
        <v>14</v>
      </c>
      <c r="G317" s="11">
        <v>2125.0</v>
      </c>
      <c r="H317" s="9">
        <v>5.0</v>
      </c>
      <c r="I317" s="12" t="str">
        <f t="array" ref="I317">_xlfn.XLOOKUP(C317, Clientes!A:A, Clientes!C:C) &amp; ", El Salvador"</f>
        <v>Chalatenango, El Salvador</v>
      </c>
      <c r="J317" s="13" t="str">
        <f t="array" ref="J317">_xlfn.XLOOKUP(E317, Tecnicos!A:A, Tecnicos!B:B)</f>
        <v>Luis Martínez</v>
      </c>
      <c r="K317" s="13" t="str">
        <f t="array" ref="K317">_xlfn.XLOOKUP(C317, Clientes!A:A, Clientes!B:B)</f>
        <v>Hospital Dr. Luis Edmundo Vásquez</v>
      </c>
      <c r="L317" s="13" t="str">
        <f t="array" ref="L317">_xlfn.XLOOKUP(D317, Equipos!A:A, Equipos!B:B)</f>
        <v>Rayos X</v>
      </c>
      <c r="M317" s="9" t="str">
        <f t="array" ref="M317">_xlfn.XLOOKUP(F317, Tipo_Mtto!A:A, Tipo_Mtto!B:B)</f>
        <v>Preventivo Programado</v>
      </c>
    </row>
    <row r="318" ht="14.25" customHeight="1">
      <c r="A318" s="9" t="s">
        <v>415</v>
      </c>
      <c r="B318" s="10">
        <v>46362.0</v>
      </c>
      <c r="C318" s="9" t="s">
        <v>75</v>
      </c>
      <c r="D318" s="14" t="s">
        <v>17</v>
      </c>
      <c r="E318" s="9" t="s">
        <v>45</v>
      </c>
      <c r="F318" s="9" t="s">
        <v>35</v>
      </c>
      <c r="G318" s="11">
        <v>1960.0</v>
      </c>
      <c r="H318" s="9">
        <v>9.0</v>
      </c>
      <c r="I318" s="12" t="str">
        <f t="array" ref="I318">_xlfn.XLOOKUP(C318, Clientes!A:A, Clientes!C:C) &amp; ", El Salvador"</f>
        <v>Usulután, El Salvador</v>
      </c>
      <c r="J318" s="13" t="str">
        <f t="array" ref="J318">_xlfn.XLOOKUP(E318, Tecnicos!A:A, Tecnicos!B:B)</f>
        <v>Elena Gómez</v>
      </c>
      <c r="K318" s="13" t="str">
        <f t="array" ref="K318">_xlfn.XLOOKUP(C318, Clientes!A:A, Clientes!B:B)</f>
        <v>Hospital de Usulután</v>
      </c>
      <c r="L318" s="13" t="str">
        <f t="array" ref="L318">_xlfn.XLOOKUP(D318, Equipos!A:A, Equipos!B:B)</f>
        <v>Rayos X</v>
      </c>
      <c r="M318" s="9" t="str">
        <f t="array" ref="M318">_xlfn.XLOOKUP(F318, Tipo_Mtto!A:A, Tipo_Mtto!B:B)</f>
        <v>Instalación</v>
      </c>
    </row>
    <row r="319" ht="14.25" customHeight="1">
      <c r="A319" s="9" t="s">
        <v>416</v>
      </c>
      <c r="B319" s="10">
        <v>46365.0</v>
      </c>
      <c r="C319" s="9" t="s">
        <v>50</v>
      </c>
      <c r="D319" s="14" t="s">
        <v>36</v>
      </c>
      <c r="E319" s="9" t="s">
        <v>25</v>
      </c>
      <c r="F319" s="9" t="s">
        <v>14</v>
      </c>
      <c r="G319" s="11">
        <v>1225.0</v>
      </c>
      <c r="H319" s="9">
        <v>6.0</v>
      </c>
      <c r="I319" s="12" t="str">
        <f t="array" ref="I319">_xlfn.XLOOKUP(C319, Clientes!A:A, Clientes!C:C) &amp; ", El Salvador"</f>
        <v>La Libertad, El Salvador</v>
      </c>
      <c r="J319" s="13" t="str">
        <f t="array" ref="J319">_xlfn.XLOOKUP(E319, Tecnicos!A:A, Tecnicos!B:B)</f>
        <v>Sofía Rodas</v>
      </c>
      <c r="K319" s="13" t="str">
        <f t="array" ref="K319">_xlfn.XLOOKUP(C319, Clientes!A:A, Clientes!B:B)</f>
        <v>Hospital San Rafael</v>
      </c>
      <c r="L319" s="13" t="str">
        <f t="array" ref="L319">_xlfn.XLOOKUP(D319, Equipos!A:A, Equipos!B:B)</f>
        <v>Ultrasonido</v>
      </c>
      <c r="M319" s="9" t="str">
        <f t="array" ref="M319">_xlfn.XLOOKUP(F319, Tipo_Mtto!A:A, Tipo_Mtto!B:B)</f>
        <v>Preventivo Programado</v>
      </c>
    </row>
    <row r="320" ht="14.25" customHeight="1">
      <c r="A320" s="9" t="s">
        <v>417</v>
      </c>
      <c r="B320" s="10">
        <v>46369.0</v>
      </c>
      <c r="C320" s="9" t="s">
        <v>58</v>
      </c>
      <c r="D320" s="14" t="s">
        <v>79</v>
      </c>
      <c r="E320" s="9" t="s">
        <v>33</v>
      </c>
      <c r="F320" s="9" t="s">
        <v>35</v>
      </c>
      <c r="G320" s="11">
        <v>938.0</v>
      </c>
      <c r="H320" s="9">
        <v>5.0</v>
      </c>
      <c r="I320" s="12" t="str">
        <f t="array" ref="I320">_xlfn.XLOOKUP(C320, Clientes!A:A, Clientes!C:C) &amp; ", El Salvador"</f>
        <v>Cuscatlán, El Salvador</v>
      </c>
      <c r="J320" s="13" t="str">
        <f t="array" ref="J320">_xlfn.XLOOKUP(E320, Tecnicos!A:A, Tecnicos!B:B)</f>
        <v>Juan Pérez</v>
      </c>
      <c r="K320" s="13" t="str">
        <f t="array" ref="K320">_xlfn.XLOOKUP(C320, Clientes!A:A, Clientes!B:B)</f>
        <v>Hospital de Cojutepeque</v>
      </c>
      <c r="L320" s="13" t="str">
        <f t="array" ref="L320">_xlfn.XLOOKUP(D320, Equipos!A:A, Equipos!B:B)</f>
        <v>Incubadora</v>
      </c>
      <c r="M320" s="9" t="str">
        <f t="array" ref="M320">_xlfn.XLOOKUP(F320, Tipo_Mtto!A:A, Tipo_Mtto!B:B)</f>
        <v>Instalación</v>
      </c>
    </row>
    <row r="321" ht="14.25" customHeight="1">
      <c r="A321" s="9" t="s">
        <v>418</v>
      </c>
      <c r="B321" s="10">
        <v>46371.0</v>
      </c>
      <c r="C321" s="9" t="s">
        <v>80</v>
      </c>
      <c r="D321" s="14" t="s">
        <v>87</v>
      </c>
      <c r="E321" s="9" t="s">
        <v>33</v>
      </c>
      <c r="F321" s="9" t="s">
        <v>35</v>
      </c>
      <c r="G321" s="11">
        <v>328.0</v>
      </c>
      <c r="H321" s="9">
        <v>1.0</v>
      </c>
      <c r="I321" s="12" t="str">
        <f t="array" ref="I321">_xlfn.XLOOKUP(C321, Clientes!A:A, Clientes!C:C) &amp; ", El Salvador"</f>
        <v>San Miguel, El Salvador</v>
      </c>
      <c r="J321" s="13" t="str">
        <f t="array" ref="J321">_xlfn.XLOOKUP(E321, Tecnicos!A:A, Tecnicos!B:B)</f>
        <v>Juan Pérez</v>
      </c>
      <c r="K321" s="13" t="str">
        <f t="array" ref="K321">_xlfn.XLOOKUP(C321, Clientes!A:A, Clientes!B:B)</f>
        <v>Hospital San Juan de Dios</v>
      </c>
      <c r="L321" s="13" t="str">
        <f t="array" ref="L321">_xlfn.XLOOKUP(D321, Equipos!A:A, Equipos!B:B)</f>
        <v>Desfibrilador</v>
      </c>
      <c r="M321" s="9" t="str">
        <f t="array" ref="M321">_xlfn.XLOOKUP(F321, Tipo_Mtto!A:A, Tipo_Mtto!B:B)</f>
        <v>Instalación</v>
      </c>
    </row>
    <row r="322" ht="14.25" customHeight="1">
      <c r="A322" s="9" t="s">
        <v>419</v>
      </c>
      <c r="B322" s="10">
        <v>46376.0</v>
      </c>
      <c r="C322" s="9" t="s">
        <v>88</v>
      </c>
      <c r="D322" s="14" t="s">
        <v>71</v>
      </c>
      <c r="E322" s="9" t="s">
        <v>33</v>
      </c>
      <c r="F322" s="9" t="s">
        <v>14</v>
      </c>
      <c r="G322" s="11">
        <v>1445.0</v>
      </c>
      <c r="H322" s="9">
        <v>5.0</v>
      </c>
      <c r="I322" s="12" t="str">
        <f t="array" ref="I322">_xlfn.XLOOKUP(C322, Clientes!A:A, Clientes!C:C) &amp; ", El Salvador"</f>
        <v>La Unión, El Salvador</v>
      </c>
      <c r="J322" s="13" t="str">
        <f t="array" ref="J322">_xlfn.XLOOKUP(E322, Tecnicos!A:A, Tecnicos!B:B)</f>
        <v>Juan Pérez</v>
      </c>
      <c r="K322" s="13" t="str">
        <f t="array" ref="K322">_xlfn.XLOOKUP(C322, Clientes!A:A, Clientes!B:B)</f>
        <v>Hospital de La Unión</v>
      </c>
      <c r="L322" s="13" t="str">
        <f t="array" ref="L322">_xlfn.XLOOKUP(D322, Equipos!A:A, Equipos!B:B)</f>
        <v>Ventilador</v>
      </c>
      <c r="M322" s="9" t="str">
        <f t="array" ref="M322">_xlfn.XLOOKUP(F322, Tipo_Mtto!A:A, Tipo_Mtto!B:B)</f>
        <v>Preventivo Programado</v>
      </c>
    </row>
    <row r="323" ht="14.25" customHeight="1">
      <c r="A323" s="9" t="s">
        <v>420</v>
      </c>
      <c r="B323" s="10">
        <v>46378.0</v>
      </c>
      <c r="C323" s="9" t="s">
        <v>70</v>
      </c>
      <c r="D323" s="14" t="s">
        <v>79</v>
      </c>
      <c r="E323" s="9" t="s">
        <v>25</v>
      </c>
      <c r="F323" s="9" t="s">
        <v>23</v>
      </c>
      <c r="G323" s="11">
        <v>1356.0</v>
      </c>
      <c r="H323" s="9">
        <v>9.0</v>
      </c>
      <c r="I323" s="12" t="str">
        <f t="array" ref="I323">_xlfn.XLOOKUP(C323, Clientes!A:A, Clientes!C:C) &amp; ", El Salvador"</f>
        <v>San Vicente, El Salvador</v>
      </c>
      <c r="J323" s="13" t="str">
        <f t="array" ref="J323">_xlfn.XLOOKUP(E323, Tecnicos!A:A, Tecnicos!B:B)</f>
        <v>Sofía Rodas</v>
      </c>
      <c r="K323" s="13" t="str">
        <f t="array" ref="K323">_xlfn.XLOOKUP(C323, Clientes!A:A, Clientes!B:B)</f>
        <v>Hospital Santa Gertrudis</v>
      </c>
      <c r="L323" s="13" t="str">
        <f t="array" ref="L323">_xlfn.XLOOKUP(D323, Equipos!A:A, Equipos!B:B)</f>
        <v>Incubadora</v>
      </c>
      <c r="M323" s="9" t="str">
        <f t="array" ref="M323">_xlfn.XLOOKUP(F323, Tipo_Mtto!A:A, Tipo_Mtto!B:B)</f>
        <v>Correctivo</v>
      </c>
    </row>
    <row r="324" ht="14.25" customHeight="1">
      <c r="A324" s="9" t="s">
        <v>421</v>
      </c>
      <c r="B324" s="10">
        <v>46382.0</v>
      </c>
      <c r="C324" s="9" t="s">
        <v>65</v>
      </c>
      <c r="D324" s="14" t="s">
        <v>79</v>
      </c>
      <c r="E324" s="9" t="s">
        <v>45</v>
      </c>
      <c r="F324" s="9" t="s">
        <v>35</v>
      </c>
      <c r="G324" s="11">
        <v>910.0</v>
      </c>
      <c r="H324" s="9">
        <v>1.0</v>
      </c>
      <c r="I324" s="12" t="str">
        <f t="array" ref="I324">_xlfn.XLOOKUP(C324, Clientes!A:A, Clientes!C:C) &amp; ", El Salvador"</f>
        <v>Cabañas, El Salvador</v>
      </c>
      <c r="J324" s="13" t="str">
        <f t="array" ref="J324">_xlfn.XLOOKUP(E324, Tecnicos!A:A, Tecnicos!B:B)</f>
        <v>Elena Gómez</v>
      </c>
      <c r="K324" s="13" t="str">
        <f t="array" ref="K324">_xlfn.XLOOKUP(C324, Clientes!A:A, Clientes!B:B)</f>
        <v>Hospital de Sensuntepeque</v>
      </c>
      <c r="L324" s="13" t="str">
        <f t="array" ref="L324">_xlfn.XLOOKUP(D324, Equipos!A:A, Equipos!B:B)</f>
        <v>Incubadora</v>
      </c>
      <c r="M324" s="9" t="str">
        <f t="array" ref="M324">_xlfn.XLOOKUP(F324, Tipo_Mtto!A:A, Tipo_Mtto!B:B)</f>
        <v>Instalación</v>
      </c>
    </row>
    <row r="325" ht="14.25" customHeight="1">
      <c r="A325" s="9" t="s">
        <v>422</v>
      </c>
      <c r="B325" s="10">
        <v>46383.0</v>
      </c>
      <c r="C325" s="9" t="s">
        <v>13</v>
      </c>
      <c r="D325" s="14" t="s">
        <v>36</v>
      </c>
      <c r="E325" s="9" t="s">
        <v>11</v>
      </c>
      <c r="F325" s="9" t="s">
        <v>23</v>
      </c>
      <c r="G325" s="11">
        <v>1684.0</v>
      </c>
      <c r="H325" s="9">
        <v>8.0</v>
      </c>
      <c r="I325" s="12" t="str">
        <f t="array" ref="I325">_xlfn.XLOOKUP(C325, Clientes!A:A, Clientes!C:C) &amp; ", El Salvador"</f>
        <v>Ahuachapán, El Salvador</v>
      </c>
      <c r="J325" s="13" t="str">
        <f t="array" ref="J325">_xlfn.XLOOKUP(E325, Tecnicos!A:A, Tecnicos!B:B)</f>
        <v>Carlos Mendoza</v>
      </c>
      <c r="K325" s="13" t="str">
        <f t="array" ref="K325">_xlfn.XLOOKUP(C325, Clientes!A:A, Clientes!B:B)</f>
        <v>Hospital Nacional de Ahuachapán</v>
      </c>
      <c r="L325" s="13" t="str">
        <f t="array" ref="L325">_xlfn.XLOOKUP(D325, Equipos!A:A, Equipos!B:B)</f>
        <v>Ultrasonido</v>
      </c>
      <c r="M325" s="9" t="str">
        <f t="array" ref="M325">_xlfn.XLOOKUP(F325, Tipo_Mtto!A:A, Tipo_Mtto!B:B)</f>
        <v>Correctivo</v>
      </c>
    </row>
    <row r="326" ht="14.25" customHeight="1">
      <c r="A326" s="9" t="s">
        <v>423</v>
      </c>
      <c r="B326" s="10">
        <v>46384.0</v>
      </c>
      <c r="C326" s="9" t="s">
        <v>88</v>
      </c>
      <c r="D326" s="14" t="s">
        <v>87</v>
      </c>
      <c r="E326" s="9" t="s">
        <v>51</v>
      </c>
      <c r="F326" s="9" t="s">
        <v>23</v>
      </c>
      <c r="G326" s="11">
        <v>2362.0</v>
      </c>
      <c r="H326" s="9">
        <v>7.0</v>
      </c>
      <c r="I326" s="12" t="str">
        <f t="array" ref="I326">_xlfn.XLOOKUP(C326, Clientes!A:A, Clientes!C:C) &amp; ", El Salvador"</f>
        <v>La Unión, El Salvador</v>
      </c>
      <c r="J326" s="13" t="str">
        <f t="array" ref="J326">_xlfn.XLOOKUP(E326, Tecnicos!A:A, Tecnicos!B:B)</f>
        <v>Luis Martínez</v>
      </c>
      <c r="K326" s="13" t="str">
        <f t="array" ref="K326">_xlfn.XLOOKUP(C326, Clientes!A:A, Clientes!B:B)</f>
        <v>Hospital de La Unión</v>
      </c>
      <c r="L326" s="13" t="str">
        <f t="array" ref="L326">_xlfn.XLOOKUP(D326, Equipos!A:A, Equipos!B:B)</f>
        <v>Desfibrilador</v>
      </c>
      <c r="M326" s="9" t="str">
        <f t="array" ref="M326">_xlfn.XLOOKUP(F326, Tipo_Mtto!A:A, Tipo_Mtto!B:B)</f>
        <v>Correctivo</v>
      </c>
    </row>
    <row r="327" ht="14.25" customHeight="1">
      <c r="A327" s="9" t="s">
        <v>424</v>
      </c>
      <c r="B327" s="10">
        <v>46385.0</v>
      </c>
      <c r="C327" s="9" t="s">
        <v>70</v>
      </c>
      <c r="D327" s="14" t="s">
        <v>87</v>
      </c>
      <c r="E327" s="9" t="s">
        <v>45</v>
      </c>
      <c r="F327" s="9" t="s">
        <v>23</v>
      </c>
      <c r="G327" s="11">
        <v>1746.0</v>
      </c>
      <c r="H327" s="9">
        <v>5.0</v>
      </c>
      <c r="I327" s="12" t="str">
        <f t="array" ref="I327">_xlfn.XLOOKUP(C327, Clientes!A:A, Clientes!C:C) &amp; ", El Salvador"</f>
        <v>San Vicente, El Salvador</v>
      </c>
      <c r="J327" s="13" t="str">
        <f t="array" ref="J327">_xlfn.XLOOKUP(E327, Tecnicos!A:A, Tecnicos!B:B)</f>
        <v>Elena Gómez</v>
      </c>
      <c r="K327" s="13" t="str">
        <f t="array" ref="K327">_xlfn.XLOOKUP(C327, Clientes!A:A, Clientes!B:B)</f>
        <v>Hospital Santa Gertrudis</v>
      </c>
      <c r="L327" s="13" t="str">
        <f t="array" ref="L327">_xlfn.XLOOKUP(D327, Equipos!A:A, Equipos!B:B)</f>
        <v>Desfibrilador</v>
      </c>
      <c r="M327" s="9" t="str">
        <f t="array" ref="M327">_xlfn.XLOOKUP(F327, Tipo_Mtto!A:A, Tipo_Mtto!B:B)</f>
        <v>Correctivo</v>
      </c>
    </row>
    <row r="328" ht="14.25" customHeight="1">
      <c r="A328" s="9" t="s">
        <v>425</v>
      </c>
      <c r="B328" s="10">
        <v>46391.0</v>
      </c>
      <c r="C328" s="9" t="s">
        <v>88</v>
      </c>
      <c r="D328" s="14" t="s">
        <v>17</v>
      </c>
      <c r="E328" s="9" t="s">
        <v>51</v>
      </c>
      <c r="F328" s="9" t="s">
        <v>23</v>
      </c>
      <c r="G328" s="11">
        <v>1727.0</v>
      </c>
      <c r="H328" s="9">
        <v>2.0</v>
      </c>
      <c r="I328" s="12" t="str">
        <f t="array" ref="I328">_xlfn.XLOOKUP(C328, Clientes!A:A, Clientes!C:C) &amp; ", El Salvador"</f>
        <v>La Unión, El Salvador</v>
      </c>
      <c r="J328" s="13" t="str">
        <f t="array" ref="J328">_xlfn.XLOOKUP(E328, Tecnicos!A:A, Tecnicos!B:B)</f>
        <v>Luis Martínez</v>
      </c>
      <c r="K328" s="13" t="str">
        <f t="array" ref="K328">_xlfn.XLOOKUP(C328, Clientes!A:A, Clientes!B:B)</f>
        <v>Hospital de La Unión</v>
      </c>
      <c r="L328" s="13" t="str">
        <f t="array" ref="L328">_xlfn.XLOOKUP(D328, Equipos!A:A, Equipos!B:B)</f>
        <v>Rayos X</v>
      </c>
      <c r="M328" s="9" t="str">
        <f t="array" ref="M328">_xlfn.XLOOKUP(F328, Tipo_Mtto!A:A, Tipo_Mtto!B:B)</f>
        <v>Correctivo</v>
      </c>
    </row>
    <row r="329" ht="14.25" customHeight="1">
      <c r="A329" s="9" t="s">
        <v>426</v>
      </c>
      <c r="B329" s="10">
        <v>46396.0</v>
      </c>
      <c r="C329" s="9" t="s">
        <v>70</v>
      </c>
      <c r="D329" s="14" t="s">
        <v>71</v>
      </c>
      <c r="E329" s="9" t="s">
        <v>25</v>
      </c>
      <c r="F329" s="9" t="s">
        <v>23</v>
      </c>
      <c r="G329" s="11">
        <v>1609.0</v>
      </c>
      <c r="H329" s="9">
        <v>10.0</v>
      </c>
      <c r="I329" s="12" t="str">
        <f t="array" ref="I329">_xlfn.XLOOKUP(C329, Clientes!A:A, Clientes!C:C) &amp; ", El Salvador"</f>
        <v>San Vicente, El Salvador</v>
      </c>
      <c r="J329" s="13" t="str">
        <f t="array" ref="J329">_xlfn.XLOOKUP(E329, Tecnicos!A:A, Tecnicos!B:B)</f>
        <v>Sofía Rodas</v>
      </c>
      <c r="K329" s="13" t="str">
        <f t="array" ref="K329">_xlfn.XLOOKUP(C329, Clientes!A:A, Clientes!B:B)</f>
        <v>Hospital Santa Gertrudis</v>
      </c>
      <c r="L329" s="13" t="str">
        <f t="array" ref="L329">_xlfn.XLOOKUP(D329, Equipos!A:A, Equipos!B:B)</f>
        <v>Ventilador</v>
      </c>
      <c r="M329" s="9" t="str">
        <f t="array" ref="M329">_xlfn.XLOOKUP(F329, Tipo_Mtto!A:A, Tipo_Mtto!B:B)</f>
        <v>Correctivo</v>
      </c>
    </row>
    <row r="330" ht="14.25" customHeight="1">
      <c r="A330" s="9" t="s">
        <v>427</v>
      </c>
      <c r="B330" s="10">
        <v>46399.0</v>
      </c>
      <c r="C330" s="9" t="s">
        <v>75</v>
      </c>
      <c r="D330" s="14" t="s">
        <v>63</v>
      </c>
      <c r="E330" s="9" t="s">
        <v>45</v>
      </c>
      <c r="F330" s="9" t="s">
        <v>35</v>
      </c>
      <c r="G330" s="11">
        <v>846.0</v>
      </c>
      <c r="H330" s="9">
        <v>1.0</v>
      </c>
      <c r="I330" s="12" t="str">
        <f t="array" ref="I330">_xlfn.XLOOKUP(C330, Clientes!A:A, Clientes!C:C) &amp; ", El Salvador"</f>
        <v>Usulután, El Salvador</v>
      </c>
      <c r="J330" s="13" t="str">
        <f t="array" ref="J330">_xlfn.XLOOKUP(E330, Tecnicos!A:A, Tecnicos!B:B)</f>
        <v>Elena Gómez</v>
      </c>
      <c r="K330" s="13" t="str">
        <f t="array" ref="K330">_xlfn.XLOOKUP(C330, Clientes!A:A, Clientes!B:B)</f>
        <v>Hospital de Usulután</v>
      </c>
      <c r="L330" s="13" t="str">
        <f t="array" ref="L330">_xlfn.XLOOKUP(D330, Equipos!A:A, Equipos!B:B)</f>
        <v>Monitor</v>
      </c>
      <c r="M330" s="9" t="str">
        <f t="array" ref="M330">_xlfn.XLOOKUP(F330, Tipo_Mtto!A:A, Tipo_Mtto!B:B)</f>
        <v>Instalación</v>
      </c>
    </row>
    <row r="331" ht="14.25" customHeight="1">
      <c r="A331" s="9" t="s">
        <v>428</v>
      </c>
      <c r="B331" s="10">
        <v>46402.0</v>
      </c>
      <c r="C331" s="9" t="s">
        <v>80</v>
      </c>
      <c r="D331" s="14" t="s">
        <v>87</v>
      </c>
      <c r="E331" s="9" t="s">
        <v>11</v>
      </c>
      <c r="F331" s="9" t="s">
        <v>35</v>
      </c>
      <c r="G331" s="11">
        <v>2409.0</v>
      </c>
      <c r="H331" s="9">
        <v>3.0</v>
      </c>
      <c r="I331" s="12" t="str">
        <f t="array" ref="I331">_xlfn.XLOOKUP(C331, Clientes!A:A, Clientes!C:C) &amp; ", El Salvador"</f>
        <v>San Miguel, El Salvador</v>
      </c>
      <c r="J331" s="13" t="str">
        <f t="array" ref="J331">_xlfn.XLOOKUP(E331, Tecnicos!A:A, Tecnicos!B:B)</f>
        <v>Carlos Mendoza</v>
      </c>
      <c r="K331" s="13" t="str">
        <f t="array" ref="K331">_xlfn.XLOOKUP(C331, Clientes!A:A, Clientes!B:B)</f>
        <v>Hospital San Juan de Dios</v>
      </c>
      <c r="L331" s="13" t="str">
        <f t="array" ref="L331">_xlfn.XLOOKUP(D331, Equipos!A:A, Equipos!B:B)</f>
        <v>Desfibrilador</v>
      </c>
      <c r="M331" s="9" t="str">
        <f t="array" ref="M331">_xlfn.XLOOKUP(F331, Tipo_Mtto!A:A, Tipo_Mtto!B:B)</f>
        <v>Instalación</v>
      </c>
    </row>
    <row r="332" ht="14.25" customHeight="1">
      <c r="A332" s="9" t="s">
        <v>429</v>
      </c>
      <c r="B332" s="10">
        <v>46403.0</v>
      </c>
      <c r="C332" s="9" t="s">
        <v>70</v>
      </c>
      <c r="D332" s="14" t="s">
        <v>71</v>
      </c>
      <c r="E332" s="9" t="s">
        <v>45</v>
      </c>
      <c r="F332" s="9" t="s">
        <v>14</v>
      </c>
      <c r="G332" s="11">
        <v>2191.0</v>
      </c>
      <c r="H332" s="9">
        <v>7.0</v>
      </c>
      <c r="I332" s="12" t="str">
        <f t="array" ref="I332">_xlfn.XLOOKUP(C332, Clientes!A:A, Clientes!C:C) &amp; ", El Salvador"</f>
        <v>San Vicente, El Salvador</v>
      </c>
      <c r="J332" s="13" t="str">
        <f t="array" ref="J332">_xlfn.XLOOKUP(E332, Tecnicos!A:A, Tecnicos!B:B)</f>
        <v>Elena Gómez</v>
      </c>
      <c r="K332" s="13" t="str">
        <f t="array" ref="K332">_xlfn.XLOOKUP(C332, Clientes!A:A, Clientes!B:B)</f>
        <v>Hospital Santa Gertrudis</v>
      </c>
      <c r="L332" s="13" t="str">
        <f t="array" ref="L332">_xlfn.XLOOKUP(D332, Equipos!A:A, Equipos!B:B)</f>
        <v>Ventilador</v>
      </c>
      <c r="M332" s="9" t="str">
        <f t="array" ref="M332">_xlfn.XLOOKUP(F332, Tipo_Mtto!A:A, Tipo_Mtto!B:B)</f>
        <v>Preventivo Programado</v>
      </c>
    </row>
    <row r="333" ht="14.25" customHeight="1">
      <c r="A333" s="9" t="s">
        <v>430</v>
      </c>
      <c r="B333" s="10">
        <v>46407.0</v>
      </c>
      <c r="C333" s="9" t="s">
        <v>34</v>
      </c>
      <c r="D333" s="14" t="s">
        <v>17</v>
      </c>
      <c r="E333" s="9" t="s">
        <v>25</v>
      </c>
      <c r="F333" s="9" t="s">
        <v>14</v>
      </c>
      <c r="G333" s="11">
        <v>786.0</v>
      </c>
      <c r="H333" s="9">
        <v>1.0</v>
      </c>
      <c r="I333" s="12" t="str">
        <f t="array" ref="I333">_xlfn.XLOOKUP(C333, Clientes!A:A, Clientes!C:C) &amp; ", El Salvador"</f>
        <v>Sonsonate, El Salvador</v>
      </c>
      <c r="J333" s="13" t="str">
        <f t="array" ref="J333">_xlfn.XLOOKUP(E333, Tecnicos!A:A, Tecnicos!B:B)</f>
        <v>Sofía Rodas</v>
      </c>
      <c r="K333" s="13" t="str">
        <f t="array" ref="K333">_xlfn.XLOOKUP(C333, Clientes!A:A, Clientes!B:B)</f>
        <v>Hospital Jorge Mazzini</v>
      </c>
      <c r="L333" s="13" t="str">
        <f t="array" ref="L333">_xlfn.XLOOKUP(D333, Equipos!A:A, Equipos!B:B)</f>
        <v>Rayos X</v>
      </c>
      <c r="M333" s="9" t="str">
        <f t="array" ref="M333">_xlfn.XLOOKUP(F333, Tipo_Mtto!A:A, Tipo_Mtto!B:B)</f>
        <v>Preventivo Programado</v>
      </c>
    </row>
    <row r="334" ht="14.25" customHeight="1">
      <c r="A334" s="9" t="s">
        <v>431</v>
      </c>
      <c r="B334" s="10">
        <v>46413.0</v>
      </c>
      <c r="C334" s="9" t="s">
        <v>44</v>
      </c>
      <c r="D334" s="14" t="s">
        <v>63</v>
      </c>
      <c r="E334" s="9" t="s">
        <v>33</v>
      </c>
      <c r="F334" s="9" t="s">
        <v>14</v>
      </c>
      <c r="G334" s="11">
        <v>1094.0</v>
      </c>
      <c r="H334" s="9">
        <v>9.0</v>
      </c>
      <c r="I334" s="12" t="str">
        <f t="array" ref="I334">_xlfn.XLOOKUP(C334, Clientes!A:A, Clientes!C:C) &amp; ", El Salvador"</f>
        <v>Chalatenango, El Salvador</v>
      </c>
      <c r="J334" s="13" t="str">
        <f t="array" ref="J334">_xlfn.XLOOKUP(E334, Tecnicos!A:A, Tecnicos!B:B)</f>
        <v>Juan Pérez</v>
      </c>
      <c r="K334" s="13" t="str">
        <f t="array" ref="K334">_xlfn.XLOOKUP(C334, Clientes!A:A, Clientes!B:B)</f>
        <v>Hospital Dr. Luis Edmundo Vásquez</v>
      </c>
      <c r="L334" s="13" t="str">
        <f t="array" ref="L334">_xlfn.XLOOKUP(D334, Equipos!A:A, Equipos!B:B)</f>
        <v>Monitor</v>
      </c>
      <c r="M334" s="9" t="str">
        <f t="array" ref="M334">_xlfn.XLOOKUP(F334, Tipo_Mtto!A:A, Tipo_Mtto!B:B)</f>
        <v>Preventivo Programado</v>
      </c>
    </row>
    <row r="335" ht="14.25" customHeight="1">
      <c r="A335" s="9" t="s">
        <v>432</v>
      </c>
      <c r="B335" s="10">
        <v>46416.0</v>
      </c>
      <c r="C335" s="9" t="s">
        <v>65</v>
      </c>
      <c r="D335" s="14" t="s">
        <v>17</v>
      </c>
      <c r="E335" s="9" t="s">
        <v>33</v>
      </c>
      <c r="F335" s="9" t="s">
        <v>23</v>
      </c>
      <c r="G335" s="11">
        <v>1319.0</v>
      </c>
      <c r="H335" s="9">
        <v>9.0</v>
      </c>
      <c r="I335" s="12" t="str">
        <f t="array" ref="I335">_xlfn.XLOOKUP(C335, Clientes!A:A, Clientes!C:C) &amp; ", El Salvador"</f>
        <v>Cabañas, El Salvador</v>
      </c>
      <c r="J335" s="13" t="str">
        <f t="array" ref="J335">_xlfn.XLOOKUP(E335, Tecnicos!A:A, Tecnicos!B:B)</f>
        <v>Juan Pérez</v>
      </c>
      <c r="K335" s="13" t="str">
        <f t="array" ref="K335">_xlfn.XLOOKUP(C335, Clientes!A:A, Clientes!B:B)</f>
        <v>Hospital de Sensuntepeque</v>
      </c>
      <c r="L335" s="13" t="str">
        <f t="array" ref="L335">_xlfn.XLOOKUP(D335, Equipos!A:A, Equipos!B:B)</f>
        <v>Rayos X</v>
      </c>
      <c r="M335" s="9" t="str">
        <f t="array" ref="M335">_xlfn.XLOOKUP(F335, Tipo_Mtto!A:A, Tipo_Mtto!B:B)</f>
        <v>Correctivo</v>
      </c>
    </row>
    <row r="336" ht="14.25" customHeight="1">
      <c r="A336" s="9" t="s">
        <v>433</v>
      </c>
      <c r="B336" s="10">
        <v>46420.0</v>
      </c>
      <c r="C336" s="9" t="s">
        <v>58</v>
      </c>
      <c r="D336" s="14" t="s">
        <v>87</v>
      </c>
      <c r="E336" s="9" t="s">
        <v>51</v>
      </c>
      <c r="F336" s="9" t="s">
        <v>23</v>
      </c>
      <c r="G336" s="11">
        <v>2173.0</v>
      </c>
      <c r="H336" s="9">
        <v>11.0</v>
      </c>
      <c r="I336" s="12" t="str">
        <f t="array" ref="I336">_xlfn.XLOOKUP(C336, Clientes!A:A, Clientes!C:C) &amp; ", El Salvador"</f>
        <v>Cuscatlán, El Salvador</v>
      </c>
      <c r="J336" s="13" t="str">
        <f t="array" ref="J336">_xlfn.XLOOKUP(E336, Tecnicos!A:A, Tecnicos!B:B)</f>
        <v>Luis Martínez</v>
      </c>
      <c r="K336" s="13" t="str">
        <f t="array" ref="K336">_xlfn.XLOOKUP(C336, Clientes!A:A, Clientes!B:B)</f>
        <v>Hospital de Cojutepeque</v>
      </c>
      <c r="L336" s="13" t="str">
        <f t="array" ref="L336">_xlfn.XLOOKUP(D336, Equipos!A:A, Equipos!B:B)</f>
        <v>Desfibrilador</v>
      </c>
      <c r="M336" s="9" t="str">
        <f t="array" ref="M336">_xlfn.XLOOKUP(F336, Tipo_Mtto!A:A, Tipo_Mtto!B:B)</f>
        <v>Correctivo</v>
      </c>
    </row>
    <row r="337" ht="14.25" customHeight="1">
      <c r="A337" s="9" t="s">
        <v>434</v>
      </c>
      <c r="B337" s="10">
        <v>46424.0</v>
      </c>
      <c r="C337" s="9" t="s">
        <v>34</v>
      </c>
      <c r="D337" s="14" t="s">
        <v>87</v>
      </c>
      <c r="E337" s="9" t="s">
        <v>51</v>
      </c>
      <c r="F337" s="9" t="s">
        <v>35</v>
      </c>
      <c r="G337" s="11">
        <v>1748.0</v>
      </c>
      <c r="H337" s="9">
        <v>3.0</v>
      </c>
      <c r="I337" s="12" t="str">
        <f t="array" ref="I337">_xlfn.XLOOKUP(C337, Clientes!A:A, Clientes!C:C) &amp; ", El Salvador"</f>
        <v>Sonsonate, El Salvador</v>
      </c>
      <c r="J337" s="13" t="str">
        <f t="array" ref="J337">_xlfn.XLOOKUP(E337, Tecnicos!A:A, Tecnicos!B:B)</f>
        <v>Luis Martínez</v>
      </c>
      <c r="K337" s="13" t="str">
        <f t="array" ref="K337">_xlfn.XLOOKUP(C337, Clientes!A:A, Clientes!B:B)</f>
        <v>Hospital Jorge Mazzini</v>
      </c>
      <c r="L337" s="13" t="str">
        <f t="array" ref="L337">_xlfn.XLOOKUP(D337, Equipos!A:A, Equipos!B:B)</f>
        <v>Desfibrilador</v>
      </c>
      <c r="M337" s="9" t="str">
        <f t="array" ref="M337">_xlfn.XLOOKUP(F337, Tipo_Mtto!A:A, Tipo_Mtto!B:B)</f>
        <v>Instalación</v>
      </c>
    </row>
    <row r="338" ht="14.25" customHeight="1">
      <c r="A338" s="9" t="s">
        <v>435</v>
      </c>
      <c r="B338" s="10">
        <v>46428.0</v>
      </c>
      <c r="C338" s="9" t="s">
        <v>13</v>
      </c>
      <c r="D338" s="14" t="s">
        <v>63</v>
      </c>
      <c r="E338" s="9" t="s">
        <v>33</v>
      </c>
      <c r="F338" s="9" t="s">
        <v>14</v>
      </c>
      <c r="G338" s="11">
        <v>1387.0</v>
      </c>
      <c r="H338" s="9">
        <v>11.0</v>
      </c>
      <c r="I338" s="12" t="str">
        <f t="array" ref="I338">_xlfn.XLOOKUP(C338, Clientes!A:A, Clientes!C:C) &amp; ", El Salvador"</f>
        <v>Ahuachapán, El Salvador</v>
      </c>
      <c r="J338" s="13" t="str">
        <f t="array" ref="J338">_xlfn.XLOOKUP(E338, Tecnicos!A:A, Tecnicos!B:B)</f>
        <v>Juan Pérez</v>
      </c>
      <c r="K338" s="13" t="str">
        <f t="array" ref="K338">_xlfn.XLOOKUP(C338, Clientes!A:A, Clientes!B:B)</f>
        <v>Hospital Nacional de Ahuachapán</v>
      </c>
      <c r="L338" s="13" t="str">
        <f t="array" ref="L338">_xlfn.XLOOKUP(D338, Equipos!A:A, Equipos!B:B)</f>
        <v>Monitor</v>
      </c>
      <c r="M338" s="9" t="str">
        <f t="array" ref="M338">_xlfn.XLOOKUP(F338, Tipo_Mtto!A:A, Tipo_Mtto!B:B)</f>
        <v>Preventivo Programado</v>
      </c>
    </row>
    <row r="339" ht="14.25" customHeight="1">
      <c r="A339" s="9" t="s">
        <v>436</v>
      </c>
      <c r="B339" s="10">
        <v>46430.0</v>
      </c>
      <c r="C339" s="9" t="s">
        <v>80</v>
      </c>
      <c r="D339" s="14" t="s">
        <v>71</v>
      </c>
      <c r="E339" s="9" t="s">
        <v>33</v>
      </c>
      <c r="F339" s="9" t="s">
        <v>14</v>
      </c>
      <c r="G339" s="11">
        <v>2222.0</v>
      </c>
      <c r="H339" s="9">
        <v>4.0</v>
      </c>
      <c r="I339" s="12" t="str">
        <f t="array" ref="I339">_xlfn.XLOOKUP(C339, Clientes!A:A, Clientes!C:C) &amp; ", El Salvador"</f>
        <v>San Miguel, El Salvador</v>
      </c>
      <c r="J339" s="13" t="str">
        <f t="array" ref="J339">_xlfn.XLOOKUP(E339, Tecnicos!A:A, Tecnicos!B:B)</f>
        <v>Juan Pérez</v>
      </c>
      <c r="K339" s="13" t="str">
        <f t="array" ref="K339">_xlfn.XLOOKUP(C339, Clientes!A:A, Clientes!B:B)</f>
        <v>Hospital San Juan de Dios</v>
      </c>
      <c r="L339" s="13" t="str">
        <f t="array" ref="L339">_xlfn.XLOOKUP(D339, Equipos!A:A, Equipos!B:B)</f>
        <v>Ventilador</v>
      </c>
      <c r="M339" s="9" t="str">
        <f t="array" ref="M339">_xlfn.XLOOKUP(F339, Tipo_Mtto!A:A, Tipo_Mtto!B:B)</f>
        <v>Preventivo Programado</v>
      </c>
    </row>
    <row r="340" ht="14.25" customHeight="1">
      <c r="A340" s="9" t="s">
        <v>437</v>
      </c>
      <c r="B340" s="10">
        <v>46431.0</v>
      </c>
      <c r="C340" s="9" t="s">
        <v>80</v>
      </c>
      <c r="D340" s="14" t="s">
        <v>87</v>
      </c>
      <c r="E340" s="9" t="s">
        <v>25</v>
      </c>
      <c r="F340" s="9" t="s">
        <v>14</v>
      </c>
      <c r="G340" s="11">
        <v>1311.0</v>
      </c>
      <c r="H340" s="9">
        <v>10.0</v>
      </c>
      <c r="I340" s="12" t="str">
        <f t="array" ref="I340">_xlfn.XLOOKUP(C340, Clientes!A:A, Clientes!C:C) &amp; ", El Salvador"</f>
        <v>San Miguel, El Salvador</v>
      </c>
      <c r="J340" s="13" t="str">
        <f t="array" ref="J340">_xlfn.XLOOKUP(E340, Tecnicos!A:A, Tecnicos!B:B)</f>
        <v>Sofía Rodas</v>
      </c>
      <c r="K340" s="13" t="str">
        <f t="array" ref="K340">_xlfn.XLOOKUP(C340, Clientes!A:A, Clientes!B:B)</f>
        <v>Hospital San Juan de Dios</v>
      </c>
      <c r="L340" s="13" t="str">
        <f t="array" ref="L340">_xlfn.XLOOKUP(D340, Equipos!A:A, Equipos!B:B)</f>
        <v>Desfibrilador</v>
      </c>
      <c r="M340" s="9" t="str">
        <f t="array" ref="M340">_xlfn.XLOOKUP(F340, Tipo_Mtto!A:A, Tipo_Mtto!B:B)</f>
        <v>Preventivo Programado</v>
      </c>
    </row>
    <row r="341" ht="14.25" customHeight="1">
      <c r="A341" s="9" t="s">
        <v>438</v>
      </c>
      <c r="B341" s="10">
        <v>46435.0</v>
      </c>
      <c r="C341" s="9" t="s">
        <v>88</v>
      </c>
      <c r="D341" s="14" t="s">
        <v>17</v>
      </c>
      <c r="E341" s="9" t="s">
        <v>11</v>
      </c>
      <c r="F341" s="9" t="s">
        <v>14</v>
      </c>
      <c r="G341" s="11">
        <v>567.0</v>
      </c>
      <c r="H341" s="9">
        <v>4.0</v>
      </c>
      <c r="I341" s="12" t="str">
        <f t="array" ref="I341">_xlfn.XLOOKUP(C341, Clientes!A:A, Clientes!C:C) &amp; ", El Salvador"</f>
        <v>La Unión, El Salvador</v>
      </c>
      <c r="J341" s="13" t="str">
        <f t="array" ref="J341">_xlfn.XLOOKUP(E341, Tecnicos!A:A, Tecnicos!B:B)</f>
        <v>Carlos Mendoza</v>
      </c>
      <c r="K341" s="13" t="str">
        <f t="array" ref="K341">_xlfn.XLOOKUP(C341, Clientes!A:A, Clientes!B:B)</f>
        <v>Hospital de La Unión</v>
      </c>
      <c r="L341" s="13" t="str">
        <f t="array" ref="L341">_xlfn.XLOOKUP(D341, Equipos!A:A, Equipos!B:B)</f>
        <v>Rayos X</v>
      </c>
      <c r="M341" s="9" t="str">
        <f t="array" ref="M341">_xlfn.XLOOKUP(F341, Tipo_Mtto!A:A, Tipo_Mtto!B:B)</f>
        <v>Preventivo Programado</v>
      </c>
    </row>
    <row r="342" ht="14.25" customHeight="1">
      <c r="A342" s="9" t="s">
        <v>439</v>
      </c>
      <c r="B342" s="10">
        <v>46441.0</v>
      </c>
      <c r="C342" s="9" t="s">
        <v>50</v>
      </c>
      <c r="D342" s="14" t="s">
        <v>71</v>
      </c>
      <c r="E342" s="9" t="s">
        <v>45</v>
      </c>
      <c r="F342" s="9" t="s">
        <v>35</v>
      </c>
      <c r="G342" s="11">
        <v>415.0</v>
      </c>
      <c r="H342" s="9">
        <v>1.0</v>
      </c>
      <c r="I342" s="12" t="str">
        <f t="array" ref="I342">_xlfn.XLOOKUP(C342, Clientes!A:A, Clientes!C:C) &amp; ", El Salvador"</f>
        <v>La Libertad, El Salvador</v>
      </c>
      <c r="J342" s="13" t="str">
        <f t="array" ref="J342">_xlfn.XLOOKUP(E342, Tecnicos!A:A, Tecnicos!B:B)</f>
        <v>Elena Gómez</v>
      </c>
      <c r="K342" s="13" t="str">
        <f t="array" ref="K342">_xlfn.XLOOKUP(C342, Clientes!A:A, Clientes!B:B)</f>
        <v>Hospital San Rafael</v>
      </c>
      <c r="L342" s="13" t="str">
        <f t="array" ref="L342">_xlfn.XLOOKUP(D342, Equipos!A:A, Equipos!B:B)</f>
        <v>Ventilador</v>
      </c>
      <c r="M342" s="9" t="str">
        <f t="array" ref="M342">_xlfn.XLOOKUP(F342, Tipo_Mtto!A:A, Tipo_Mtto!B:B)</f>
        <v>Instalación</v>
      </c>
    </row>
    <row r="343" ht="14.25" customHeight="1">
      <c r="A343" s="9" t="s">
        <v>440</v>
      </c>
      <c r="B343" s="10">
        <v>46446.0</v>
      </c>
      <c r="C343" s="9" t="s">
        <v>13</v>
      </c>
      <c r="D343" s="14" t="s">
        <v>17</v>
      </c>
      <c r="E343" s="9" t="s">
        <v>11</v>
      </c>
      <c r="F343" s="9" t="s">
        <v>14</v>
      </c>
      <c r="G343" s="11">
        <v>1847.0</v>
      </c>
      <c r="H343" s="9">
        <v>8.0</v>
      </c>
      <c r="I343" s="12" t="str">
        <f t="array" ref="I343">_xlfn.XLOOKUP(C343, Clientes!A:A, Clientes!C:C) &amp; ", El Salvador"</f>
        <v>Ahuachapán, El Salvador</v>
      </c>
      <c r="J343" s="13" t="str">
        <f t="array" ref="J343">_xlfn.XLOOKUP(E343, Tecnicos!A:A, Tecnicos!B:B)</f>
        <v>Carlos Mendoza</v>
      </c>
      <c r="K343" s="13" t="str">
        <f t="array" ref="K343">_xlfn.XLOOKUP(C343, Clientes!A:A, Clientes!B:B)</f>
        <v>Hospital Nacional de Ahuachapán</v>
      </c>
      <c r="L343" s="13" t="str">
        <f t="array" ref="L343">_xlfn.XLOOKUP(D343, Equipos!A:A, Equipos!B:B)</f>
        <v>Rayos X</v>
      </c>
      <c r="M343" s="9" t="str">
        <f t="array" ref="M343">_xlfn.XLOOKUP(F343, Tipo_Mtto!A:A, Tipo_Mtto!B:B)</f>
        <v>Preventivo Programado</v>
      </c>
    </row>
    <row r="344" ht="14.25" customHeight="1">
      <c r="A344" s="9" t="s">
        <v>441</v>
      </c>
      <c r="B344" s="10">
        <v>46452.0</v>
      </c>
      <c r="C344" s="9" t="s">
        <v>83</v>
      </c>
      <c r="D344" s="14" t="s">
        <v>71</v>
      </c>
      <c r="E344" s="9" t="s">
        <v>25</v>
      </c>
      <c r="F344" s="9" t="s">
        <v>35</v>
      </c>
      <c r="G344" s="11">
        <v>1626.0</v>
      </c>
      <c r="H344" s="9">
        <v>1.0</v>
      </c>
      <c r="I344" s="12" t="str">
        <f t="array" ref="I344">_xlfn.XLOOKUP(C344, Clientes!A:A, Clientes!C:C) &amp; ", El Salvador"</f>
        <v>Morazán, El Salvador</v>
      </c>
      <c r="J344" s="13" t="str">
        <f t="array" ref="J344">_xlfn.XLOOKUP(E344, Tecnicos!A:A, Tecnicos!B:B)</f>
        <v>Sofía Rodas</v>
      </c>
      <c r="K344" s="13" t="str">
        <f t="array" ref="K344">_xlfn.XLOOKUP(C344, Clientes!A:A, Clientes!B:B)</f>
        <v>Hospital de San Francisco Gotera</v>
      </c>
      <c r="L344" s="13" t="str">
        <f t="array" ref="L344">_xlfn.XLOOKUP(D344, Equipos!A:A, Equipos!B:B)</f>
        <v>Ventilador</v>
      </c>
      <c r="M344" s="9" t="str">
        <f t="array" ref="M344">_xlfn.XLOOKUP(F344, Tipo_Mtto!A:A, Tipo_Mtto!B:B)</f>
        <v>Instalación</v>
      </c>
    </row>
    <row r="345" ht="14.25" customHeight="1">
      <c r="A345" s="9" t="s">
        <v>442</v>
      </c>
      <c r="B345" s="10">
        <v>46454.0</v>
      </c>
      <c r="C345" s="9" t="s">
        <v>34</v>
      </c>
      <c r="D345" s="14" t="s">
        <v>36</v>
      </c>
      <c r="E345" s="9" t="s">
        <v>45</v>
      </c>
      <c r="F345" s="9" t="s">
        <v>23</v>
      </c>
      <c r="G345" s="11">
        <v>1541.0</v>
      </c>
      <c r="H345" s="9">
        <v>7.0</v>
      </c>
      <c r="I345" s="12" t="str">
        <f t="array" ref="I345">_xlfn.XLOOKUP(C345, Clientes!A:A, Clientes!C:C) &amp; ", El Salvador"</f>
        <v>Sonsonate, El Salvador</v>
      </c>
      <c r="J345" s="13" t="str">
        <f t="array" ref="J345">_xlfn.XLOOKUP(E345, Tecnicos!A:A, Tecnicos!B:B)</f>
        <v>Elena Gómez</v>
      </c>
      <c r="K345" s="13" t="str">
        <f t="array" ref="K345">_xlfn.XLOOKUP(C345, Clientes!A:A, Clientes!B:B)</f>
        <v>Hospital Jorge Mazzini</v>
      </c>
      <c r="L345" s="13" t="str">
        <f t="array" ref="L345">_xlfn.XLOOKUP(D345, Equipos!A:A, Equipos!B:B)</f>
        <v>Ultrasonido</v>
      </c>
      <c r="M345" s="9" t="str">
        <f t="array" ref="M345">_xlfn.XLOOKUP(F345, Tipo_Mtto!A:A, Tipo_Mtto!B:B)</f>
        <v>Correctivo</v>
      </c>
    </row>
    <row r="346" ht="14.25" customHeight="1">
      <c r="A346" s="9" t="s">
        <v>443</v>
      </c>
      <c r="B346" s="10">
        <v>46460.0</v>
      </c>
      <c r="C346" s="9" t="s">
        <v>58</v>
      </c>
      <c r="D346" s="14" t="s">
        <v>71</v>
      </c>
      <c r="E346" s="9" t="s">
        <v>33</v>
      </c>
      <c r="F346" s="9" t="s">
        <v>14</v>
      </c>
      <c r="G346" s="11">
        <v>2432.0</v>
      </c>
      <c r="H346" s="9">
        <v>2.0</v>
      </c>
      <c r="I346" s="12" t="str">
        <f t="array" ref="I346">_xlfn.XLOOKUP(C346, Clientes!A:A, Clientes!C:C) &amp; ", El Salvador"</f>
        <v>Cuscatlán, El Salvador</v>
      </c>
      <c r="J346" s="13" t="str">
        <f t="array" ref="J346">_xlfn.XLOOKUP(E346, Tecnicos!A:A, Tecnicos!B:B)</f>
        <v>Juan Pérez</v>
      </c>
      <c r="K346" s="13" t="str">
        <f t="array" ref="K346">_xlfn.XLOOKUP(C346, Clientes!A:A, Clientes!B:B)</f>
        <v>Hospital de Cojutepeque</v>
      </c>
      <c r="L346" s="13" t="str">
        <f t="array" ref="L346">_xlfn.XLOOKUP(D346, Equipos!A:A, Equipos!B:B)</f>
        <v>Ventilador</v>
      </c>
      <c r="M346" s="9" t="str">
        <f t="array" ref="M346">_xlfn.XLOOKUP(F346, Tipo_Mtto!A:A, Tipo_Mtto!B:B)</f>
        <v>Preventivo Programado</v>
      </c>
    </row>
    <row r="347" ht="14.25" customHeight="1">
      <c r="A347" s="9" t="s">
        <v>444</v>
      </c>
      <c r="B347" s="10">
        <v>46466.0</v>
      </c>
      <c r="C347" s="9" t="s">
        <v>34</v>
      </c>
      <c r="D347" s="14" t="s">
        <v>17</v>
      </c>
      <c r="E347" s="9" t="s">
        <v>11</v>
      </c>
      <c r="F347" s="9" t="s">
        <v>14</v>
      </c>
      <c r="G347" s="11">
        <v>208.0</v>
      </c>
      <c r="H347" s="9">
        <v>7.0</v>
      </c>
      <c r="I347" s="12" t="str">
        <f t="array" ref="I347">_xlfn.XLOOKUP(C347, Clientes!A:A, Clientes!C:C) &amp; ", El Salvador"</f>
        <v>Sonsonate, El Salvador</v>
      </c>
      <c r="J347" s="13" t="str">
        <f t="array" ref="J347">_xlfn.XLOOKUP(E347, Tecnicos!A:A, Tecnicos!B:B)</f>
        <v>Carlos Mendoza</v>
      </c>
      <c r="K347" s="13" t="str">
        <f t="array" ref="K347">_xlfn.XLOOKUP(C347, Clientes!A:A, Clientes!B:B)</f>
        <v>Hospital Jorge Mazzini</v>
      </c>
      <c r="L347" s="13" t="str">
        <f t="array" ref="L347">_xlfn.XLOOKUP(D347, Equipos!A:A, Equipos!B:B)</f>
        <v>Rayos X</v>
      </c>
      <c r="M347" s="9" t="str">
        <f t="array" ref="M347">_xlfn.XLOOKUP(F347, Tipo_Mtto!A:A, Tipo_Mtto!B:B)</f>
        <v>Preventivo Programado</v>
      </c>
    </row>
    <row r="348" ht="14.25" customHeight="1">
      <c r="A348" s="9" t="s">
        <v>445</v>
      </c>
      <c r="B348" s="10">
        <v>46467.0</v>
      </c>
      <c r="C348" s="9" t="s">
        <v>61</v>
      </c>
      <c r="D348" s="14" t="s">
        <v>17</v>
      </c>
      <c r="E348" s="9" t="s">
        <v>51</v>
      </c>
      <c r="F348" s="9" t="s">
        <v>35</v>
      </c>
      <c r="G348" s="11">
        <v>1367.0</v>
      </c>
      <c r="H348" s="9">
        <v>10.0</v>
      </c>
      <c r="I348" s="12" t="str">
        <f t="array" ref="I348">_xlfn.XLOOKUP(C348, Clientes!A:A, Clientes!C:C) &amp; ", El Salvador"</f>
        <v>La Paz, El Salvador</v>
      </c>
      <c r="J348" s="13" t="str">
        <f t="array" ref="J348">_xlfn.XLOOKUP(E348, Tecnicos!A:A, Tecnicos!B:B)</f>
        <v>Luis Martínez</v>
      </c>
      <c r="K348" s="13" t="str">
        <f t="array" ref="K348">_xlfn.XLOOKUP(C348, Clientes!A:A, Clientes!B:B)</f>
        <v>Hospital Santa Teresa</v>
      </c>
      <c r="L348" s="13" t="str">
        <f t="array" ref="L348">_xlfn.XLOOKUP(D348, Equipos!A:A, Equipos!B:B)</f>
        <v>Rayos X</v>
      </c>
      <c r="M348" s="9" t="str">
        <f t="array" ref="M348">_xlfn.XLOOKUP(F348, Tipo_Mtto!A:A, Tipo_Mtto!B:B)</f>
        <v>Instalación</v>
      </c>
    </row>
    <row r="349" ht="14.25" customHeight="1">
      <c r="A349" s="9" t="s">
        <v>446</v>
      </c>
      <c r="B349" s="10">
        <v>46472.0</v>
      </c>
      <c r="C349" s="9" t="s">
        <v>88</v>
      </c>
      <c r="D349" s="14" t="s">
        <v>87</v>
      </c>
      <c r="E349" s="9" t="s">
        <v>25</v>
      </c>
      <c r="F349" s="9" t="s">
        <v>35</v>
      </c>
      <c r="G349" s="11">
        <v>1923.0</v>
      </c>
      <c r="H349" s="9">
        <v>7.0</v>
      </c>
      <c r="I349" s="12" t="str">
        <f t="array" ref="I349">_xlfn.XLOOKUP(C349, Clientes!A:A, Clientes!C:C) &amp; ", El Salvador"</f>
        <v>La Unión, El Salvador</v>
      </c>
      <c r="J349" s="13" t="str">
        <f t="array" ref="J349">_xlfn.XLOOKUP(E349, Tecnicos!A:A, Tecnicos!B:B)</f>
        <v>Sofía Rodas</v>
      </c>
      <c r="K349" s="13" t="str">
        <f t="array" ref="K349">_xlfn.XLOOKUP(C349, Clientes!A:A, Clientes!B:B)</f>
        <v>Hospital de La Unión</v>
      </c>
      <c r="L349" s="13" t="str">
        <f t="array" ref="L349">_xlfn.XLOOKUP(D349, Equipos!A:A, Equipos!B:B)</f>
        <v>Desfibrilador</v>
      </c>
      <c r="M349" s="9" t="str">
        <f t="array" ref="M349">_xlfn.XLOOKUP(F349, Tipo_Mtto!A:A, Tipo_Mtto!B:B)</f>
        <v>Instalación</v>
      </c>
    </row>
    <row r="350" ht="14.25" customHeight="1">
      <c r="A350" s="9" t="s">
        <v>447</v>
      </c>
      <c r="B350" s="10">
        <v>46473.0</v>
      </c>
      <c r="C350" s="9" t="s">
        <v>83</v>
      </c>
      <c r="D350" s="14" t="s">
        <v>71</v>
      </c>
      <c r="E350" s="9" t="s">
        <v>11</v>
      </c>
      <c r="F350" s="9" t="s">
        <v>14</v>
      </c>
      <c r="G350" s="11">
        <v>1072.0</v>
      </c>
      <c r="H350" s="9">
        <v>10.0</v>
      </c>
      <c r="I350" s="12" t="str">
        <f t="array" ref="I350">_xlfn.XLOOKUP(C350, Clientes!A:A, Clientes!C:C) &amp; ", El Salvador"</f>
        <v>Morazán, El Salvador</v>
      </c>
      <c r="J350" s="13" t="str">
        <f t="array" ref="J350">_xlfn.XLOOKUP(E350, Tecnicos!A:A, Tecnicos!B:B)</f>
        <v>Carlos Mendoza</v>
      </c>
      <c r="K350" s="13" t="str">
        <f t="array" ref="K350">_xlfn.XLOOKUP(C350, Clientes!A:A, Clientes!B:B)</f>
        <v>Hospital de San Francisco Gotera</v>
      </c>
      <c r="L350" s="13" t="str">
        <f t="array" ref="L350">_xlfn.XLOOKUP(D350, Equipos!A:A, Equipos!B:B)</f>
        <v>Ventilador</v>
      </c>
      <c r="M350" s="9" t="str">
        <f t="array" ref="M350">_xlfn.XLOOKUP(F350, Tipo_Mtto!A:A, Tipo_Mtto!B:B)</f>
        <v>Preventivo Programado</v>
      </c>
    </row>
    <row r="351" ht="14.25" customHeight="1">
      <c r="A351" s="9" t="s">
        <v>448</v>
      </c>
      <c r="B351" s="10">
        <v>46479.0</v>
      </c>
      <c r="C351" s="9" t="s">
        <v>70</v>
      </c>
      <c r="D351" s="14" t="s">
        <v>87</v>
      </c>
      <c r="E351" s="9" t="s">
        <v>45</v>
      </c>
      <c r="F351" s="9" t="s">
        <v>35</v>
      </c>
      <c r="G351" s="11">
        <v>598.0</v>
      </c>
      <c r="H351" s="9">
        <v>2.0</v>
      </c>
      <c r="I351" s="12" t="str">
        <f t="array" ref="I351">_xlfn.XLOOKUP(C351, Clientes!A:A, Clientes!C:C) &amp; ", El Salvador"</f>
        <v>San Vicente, El Salvador</v>
      </c>
      <c r="J351" s="13" t="str">
        <f t="array" ref="J351">_xlfn.XLOOKUP(E351, Tecnicos!A:A, Tecnicos!B:B)</f>
        <v>Elena Gómez</v>
      </c>
      <c r="K351" s="13" t="str">
        <f t="array" ref="K351">_xlfn.XLOOKUP(C351, Clientes!A:A, Clientes!B:B)</f>
        <v>Hospital Santa Gertrudis</v>
      </c>
      <c r="L351" s="13" t="str">
        <f t="array" ref="L351">_xlfn.XLOOKUP(D351, Equipos!A:A, Equipos!B:B)</f>
        <v>Desfibrilador</v>
      </c>
      <c r="M351" s="9" t="str">
        <f t="array" ref="M351">_xlfn.XLOOKUP(F351, Tipo_Mtto!A:A, Tipo_Mtto!B:B)</f>
        <v>Instalación</v>
      </c>
    </row>
    <row r="352" ht="14.25" customHeight="1">
      <c r="B352" s="15"/>
      <c r="G352" s="16"/>
    </row>
    <row r="353" ht="14.25" customHeight="1">
      <c r="B353" s="15"/>
      <c r="G353" s="16"/>
    </row>
    <row r="354" ht="14.25" customHeight="1">
      <c r="B354" s="15"/>
      <c r="G354" s="16"/>
    </row>
    <row r="355" ht="14.25" customHeight="1">
      <c r="B355" s="15"/>
      <c r="G355" s="16"/>
    </row>
    <row r="356" ht="14.25" customHeight="1">
      <c r="B356" s="15"/>
      <c r="G356" s="16"/>
    </row>
    <row r="357" ht="14.25" customHeight="1">
      <c r="B357" s="15"/>
      <c r="G357" s="16"/>
    </row>
    <row r="358" ht="14.25" customHeight="1">
      <c r="B358" s="15"/>
      <c r="G358" s="16"/>
    </row>
    <row r="359" ht="14.25" customHeight="1">
      <c r="B359" s="15"/>
      <c r="G359" s="16"/>
    </row>
    <row r="360" ht="14.25" customHeight="1">
      <c r="B360" s="15"/>
      <c r="G360" s="16"/>
    </row>
    <row r="361" ht="14.25" customHeight="1">
      <c r="B361" s="15"/>
      <c r="G361" s="16"/>
    </row>
    <row r="362" ht="14.25" customHeight="1">
      <c r="B362" s="15"/>
      <c r="G362" s="16"/>
    </row>
    <row r="363" ht="14.25" customHeight="1">
      <c r="B363" s="15"/>
      <c r="G363" s="16"/>
    </row>
    <row r="364" ht="14.25" customHeight="1">
      <c r="B364" s="15"/>
      <c r="G364" s="16"/>
    </row>
    <row r="365" ht="14.25" customHeight="1">
      <c r="B365" s="15"/>
      <c r="G365" s="16"/>
    </row>
    <row r="366" ht="14.25" customHeight="1">
      <c r="B366" s="15"/>
      <c r="G366" s="16"/>
    </row>
    <row r="367" ht="14.25" customHeight="1">
      <c r="B367" s="15"/>
      <c r="G367" s="16"/>
    </row>
    <row r="368" ht="14.25" customHeight="1">
      <c r="B368" s="15"/>
      <c r="G368" s="16"/>
    </row>
    <row r="369" ht="14.25" customHeight="1">
      <c r="B369" s="15"/>
      <c r="G369" s="16"/>
    </row>
    <row r="370" ht="14.25" customHeight="1">
      <c r="B370" s="15"/>
      <c r="G370" s="16"/>
    </row>
    <row r="371" ht="14.25" customHeight="1">
      <c r="B371" s="15"/>
      <c r="G371" s="16"/>
    </row>
    <row r="372" ht="14.25" customHeight="1">
      <c r="B372" s="15"/>
      <c r="G372" s="16"/>
    </row>
    <row r="373" ht="14.25" customHeight="1">
      <c r="B373" s="15"/>
      <c r="G373" s="16"/>
    </row>
    <row r="374" ht="14.25" customHeight="1">
      <c r="B374" s="15"/>
      <c r="G374" s="16"/>
    </row>
    <row r="375" ht="14.25" customHeight="1">
      <c r="B375" s="15"/>
      <c r="G375" s="16"/>
    </row>
    <row r="376" ht="14.25" customHeight="1">
      <c r="B376" s="15"/>
      <c r="G376" s="16"/>
    </row>
    <row r="377" ht="14.25" customHeight="1">
      <c r="B377" s="15"/>
      <c r="G377" s="16"/>
    </row>
    <row r="378" ht="14.25" customHeight="1">
      <c r="B378" s="15"/>
      <c r="G378" s="16"/>
    </row>
    <row r="379" ht="14.25" customHeight="1">
      <c r="B379" s="15"/>
      <c r="G379" s="16"/>
    </row>
    <row r="380" ht="14.25" customHeight="1">
      <c r="B380" s="15"/>
      <c r="G380" s="16"/>
    </row>
    <row r="381" ht="14.25" customHeight="1">
      <c r="B381" s="15"/>
      <c r="G381" s="16"/>
    </row>
    <row r="382" ht="14.25" customHeight="1">
      <c r="B382" s="15"/>
      <c r="G382" s="16"/>
    </row>
    <row r="383" ht="14.25" customHeight="1">
      <c r="B383" s="15"/>
      <c r="G383" s="16"/>
    </row>
    <row r="384" ht="14.25" customHeight="1">
      <c r="B384" s="15"/>
      <c r="G384" s="16"/>
    </row>
    <row r="385" ht="14.25" customHeight="1">
      <c r="B385" s="15"/>
      <c r="G385" s="16"/>
    </row>
    <row r="386" ht="14.25" customHeight="1">
      <c r="B386" s="15"/>
      <c r="G386" s="16"/>
    </row>
    <row r="387" ht="14.25" customHeight="1">
      <c r="B387" s="15"/>
      <c r="G387" s="16"/>
    </row>
    <row r="388" ht="14.25" customHeight="1">
      <c r="B388" s="15"/>
      <c r="G388" s="16"/>
    </row>
    <row r="389" ht="14.25" customHeight="1">
      <c r="B389" s="15"/>
      <c r="G389" s="16"/>
    </row>
    <row r="390" ht="14.25" customHeight="1">
      <c r="B390" s="15"/>
      <c r="G390" s="16"/>
    </row>
    <row r="391" ht="14.25" customHeight="1">
      <c r="B391" s="15"/>
      <c r="G391" s="16"/>
    </row>
    <row r="392" ht="14.25" customHeight="1">
      <c r="B392" s="15"/>
      <c r="G392" s="16"/>
    </row>
    <row r="393" ht="14.25" customHeight="1">
      <c r="B393" s="15"/>
      <c r="G393" s="16"/>
    </row>
    <row r="394" ht="14.25" customHeight="1">
      <c r="B394" s="15"/>
      <c r="G394" s="16"/>
    </row>
    <row r="395" ht="14.25" customHeight="1">
      <c r="B395" s="15"/>
      <c r="G395" s="16"/>
    </row>
    <row r="396" ht="14.25" customHeight="1">
      <c r="B396" s="15"/>
      <c r="G396" s="16"/>
    </row>
    <row r="397" ht="14.25" customHeight="1">
      <c r="B397" s="15"/>
      <c r="G397" s="16"/>
    </row>
    <row r="398" ht="14.25" customHeight="1">
      <c r="B398" s="15"/>
      <c r="G398" s="16"/>
    </row>
    <row r="399" ht="14.25" customHeight="1">
      <c r="B399" s="15"/>
      <c r="G399" s="16"/>
    </row>
    <row r="400" ht="14.25" customHeight="1">
      <c r="B400" s="15"/>
      <c r="G400" s="16"/>
    </row>
    <row r="401" ht="14.25" customHeight="1">
      <c r="B401" s="15"/>
      <c r="G401" s="16"/>
    </row>
    <row r="402" ht="14.25" customHeight="1">
      <c r="B402" s="15"/>
      <c r="G402" s="16"/>
    </row>
    <row r="403" ht="14.25" customHeight="1">
      <c r="B403" s="15"/>
      <c r="G403" s="16"/>
    </row>
    <row r="404" ht="14.25" customHeight="1">
      <c r="B404" s="15"/>
      <c r="G404" s="16"/>
    </row>
    <row r="405" ht="14.25" customHeight="1">
      <c r="B405" s="15"/>
      <c r="G405" s="16"/>
    </row>
    <row r="406" ht="14.25" customHeight="1">
      <c r="B406" s="15"/>
      <c r="G406" s="16"/>
    </row>
    <row r="407" ht="14.25" customHeight="1">
      <c r="B407" s="15"/>
      <c r="G407" s="16"/>
    </row>
    <row r="408" ht="14.25" customHeight="1">
      <c r="B408" s="15"/>
      <c r="G408" s="16"/>
    </row>
    <row r="409" ht="14.25" customHeight="1">
      <c r="B409" s="15"/>
      <c r="G409" s="16"/>
    </row>
    <row r="410" ht="14.25" customHeight="1">
      <c r="B410" s="15"/>
      <c r="G410" s="16"/>
    </row>
    <row r="411" ht="14.25" customHeight="1">
      <c r="B411" s="15"/>
      <c r="G411" s="16"/>
    </row>
    <row r="412" ht="14.25" customHeight="1">
      <c r="B412" s="15"/>
      <c r="G412" s="16"/>
    </row>
    <row r="413" ht="14.25" customHeight="1">
      <c r="B413" s="15"/>
      <c r="G413" s="16"/>
    </row>
    <row r="414" ht="14.25" customHeight="1">
      <c r="B414" s="15"/>
      <c r="G414" s="16"/>
    </row>
    <row r="415" ht="14.25" customHeight="1">
      <c r="B415" s="15"/>
      <c r="G415" s="16"/>
    </row>
    <row r="416" ht="14.25" customHeight="1">
      <c r="B416" s="15"/>
      <c r="G416" s="16"/>
    </row>
    <row r="417" ht="14.25" customHeight="1">
      <c r="B417" s="15"/>
      <c r="G417" s="16"/>
    </row>
    <row r="418" ht="14.25" customHeight="1">
      <c r="B418" s="15"/>
      <c r="G418" s="16"/>
    </row>
    <row r="419" ht="14.25" customHeight="1">
      <c r="B419" s="15"/>
      <c r="G419" s="16"/>
    </row>
    <row r="420" ht="14.25" customHeight="1">
      <c r="B420" s="15"/>
      <c r="G420" s="16"/>
    </row>
    <row r="421" ht="14.25" customHeight="1">
      <c r="B421" s="15"/>
      <c r="G421" s="16"/>
    </row>
    <row r="422" ht="14.25" customHeight="1">
      <c r="B422" s="15"/>
      <c r="G422" s="16"/>
    </row>
    <row r="423" ht="14.25" customHeight="1">
      <c r="B423" s="15"/>
      <c r="G423" s="16"/>
    </row>
    <row r="424" ht="14.25" customHeight="1">
      <c r="B424" s="15"/>
      <c r="G424" s="16"/>
    </row>
    <row r="425" ht="14.25" customHeight="1">
      <c r="B425" s="15"/>
      <c r="G425" s="16"/>
    </row>
    <row r="426" ht="14.25" customHeight="1">
      <c r="B426" s="15"/>
      <c r="G426" s="16"/>
    </row>
    <row r="427" ht="14.25" customHeight="1">
      <c r="B427" s="15"/>
      <c r="G427" s="16"/>
    </row>
    <row r="428" ht="14.25" customHeight="1">
      <c r="B428" s="15"/>
      <c r="G428" s="16"/>
    </row>
    <row r="429" ht="14.25" customHeight="1">
      <c r="B429" s="15"/>
      <c r="G429" s="16"/>
    </row>
    <row r="430" ht="14.25" customHeight="1">
      <c r="B430" s="15"/>
      <c r="G430" s="16"/>
    </row>
    <row r="431" ht="14.25" customHeight="1">
      <c r="B431" s="15"/>
      <c r="G431" s="16"/>
    </row>
    <row r="432" ht="14.25" customHeight="1">
      <c r="B432" s="15"/>
      <c r="G432" s="16"/>
    </row>
    <row r="433" ht="14.25" customHeight="1">
      <c r="B433" s="15"/>
      <c r="G433" s="16"/>
    </row>
    <row r="434" ht="14.25" customHeight="1">
      <c r="B434" s="15"/>
      <c r="G434" s="16"/>
    </row>
    <row r="435" ht="14.25" customHeight="1">
      <c r="B435" s="15"/>
      <c r="G435" s="16"/>
    </row>
    <row r="436" ht="14.25" customHeight="1">
      <c r="B436" s="15"/>
      <c r="G436" s="16"/>
    </row>
    <row r="437" ht="14.25" customHeight="1">
      <c r="B437" s="15"/>
      <c r="G437" s="16"/>
    </row>
    <row r="438" ht="14.25" customHeight="1">
      <c r="B438" s="15"/>
      <c r="G438" s="16"/>
    </row>
    <row r="439" ht="14.25" customHeight="1">
      <c r="B439" s="15"/>
      <c r="G439" s="16"/>
    </row>
    <row r="440" ht="14.25" customHeight="1">
      <c r="B440" s="15"/>
      <c r="G440" s="16"/>
    </row>
    <row r="441" ht="14.25" customHeight="1">
      <c r="B441" s="15"/>
      <c r="G441" s="16"/>
    </row>
    <row r="442" ht="14.25" customHeight="1">
      <c r="B442" s="15"/>
      <c r="G442" s="16"/>
    </row>
    <row r="443" ht="14.25" customHeight="1">
      <c r="B443" s="15"/>
      <c r="G443" s="16"/>
    </row>
    <row r="444" ht="14.25" customHeight="1">
      <c r="B444" s="15"/>
      <c r="G444" s="16"/>
    </row>
    <row r="445" ht="14.25" customHeight="1">
      <c r="B445" s="15"/>
      <c r="G445" s="16"/>
    </row>
    <row r="446" ht="14.25" customHeight="1">
      <c r="B446" s="15"/>
      <c r="G446" s="16"/>
    </row>
    <row r="447" ht="14.25" customHeight="1">
      <c r="B447" s="15"/>
      <c r="G447" s="16"/>
    </row>
    <row r="448" ht="14.25" customHeight="1">
      <c r="B448" s="15"/>
      <c r="G448" s="16"/>
    </row>
    <row r="449" ht="14.25" customHeight="1">
      <c r="B449" s="15"/>
      <c r="G449" s="16"/>
    </row>
    <row r="450" ht="14.25" customHeight="1">
      <c r="B450" s="15"/>
      <c r="G450" s="16"/>
    </row>
    <row r="451" ht="14.25" customHeight="1">
      <c r="B451" s="15"/>
      <c r="G451" s="16"/>
    </row>
    <row r="452" ht="14.25" customHeight="1">
      <c r="B452" s="15"/>
      <c r="G452" s="16"/>
    </row>
    <row r="453" ht="14.25" customHeight="1">
      <c r="B453" s="15"/>
      <c r="G453" s="16"/>
    </row>
    <row r="454" ht="14.25" customHeight="1">
      <c r="B454" s="15"/>
      <c r="G454" s="16"/>
    </row>
    <row r="455" ht="14.25" customHeight="1">
      <c r="B455" s="15"/>
      <c r="G455" s="16"/>
    </row>
    <row r="456" ht="14.25" customHeight="1">
      <c r="B456" s="15"/>
      <c r="G456" s="16"/>
    </row>
    <row r="457" ht="14.25" customHeight="1">
      <c r="B457" s="15"/>
      <c r="G457" s="16"/>
    </row>
    <row r="458" ht="14.25" customHeight="1">
      <c r="B458" s="15"/>
      <c r="G458" s="16"/>
    </row>
    <row r="459" ht="14.25" customHeight="1">
      <c r="B459" s="15"/>
      <c r="G459" s="16"/>
    </row>
    <row r="460" ht="14.25" customHeight="1">
      <c r="B460" s="15"/>
      <c r="G460" s="16"/>
    </row>
    <row r="461" ht="14.25" customHeight="1">
      <c r="B461" s="15"/>
      <c r="G461" s="16"/>
    </row>
    <row r="462" ht="14.25" customHeight="1">
      <c r="B462" s="15"/>
      <c r="G462" s="16"/>
    </row>
    <row r="463" ht="14.25" customHeight="1">
      <c r="B463" s="15"/>
      <c r="G463" s="16"/>
    </row>
    <row r="464" ht="14.25" customHeight="1">
      <c r="B464" s="15"/>
      <c r="G464" s="16"/>
    </row>
    <row r="465" ht="14.25" customHeight="1">
      <c r="B465" s="15"/>
      <c r="G465" s="16"/>
    </row>
    <row r="466" ht="14.25" customHeight="1">
      <c r="B466" s="15"/>
      <c r="G466" s="16"/>
    </row>
    <row r="467" ht="14.25" customHeight="1">
      <c r="B467" s="15"/>
      <c r="G467" s="16"/>
    </row>
    <row r="468" ht="14.25" customHeight="1">
      <c r="B468" s="15"/>
      <c r="G468" s="16"/>
    </row>
    <row r="469" ht="14.25" customHeight="1">
      <c r="B469" s="15"/>
      <c r="G469" s="16"/>
    </row>
    <row r="470" ht="14.25" customHeight="1">
      <c r="B470" s="15"/>
      <c r="G470" s="16"/>
    </row>
    <row r="471" ht="14.25" customHeight="1">
      <c r="B471" s="15"/>
      <c r="G471" s="16"/>
    </row>
    <row r="472" ht="14.25" customHeight="1">
      <c r="B472" s="15"/>
      <c r="G472" s="16"/>
    </row>
    <row r="473" ht="14.25" customHeight="1">
      <c r="B473" s="15"/>
      <c r="G473" s="16"/>
    </row>
    <row r="474" ht="14.25" customHeight="1">
      <c r="B474" s="15"/>
      <c r="G474" s="16"/>
    </row>
    <row r="475" ht="14.25" customHeight="1">
      <c r="B475" s="15"/>
      <c r="G475" s="16"/>
    </row>
    <row r="476" ht="14.25" customHeight="1">
      <c r="B476" s="15"/>
      <c r="G476" s="16"/>
    </row>
    <row r="477" ht="14.25" customHeight="1">
      <c r="B477" s="15"/>
      <c r="G477" s="16"/>
    </row>
    <row r="478" ht="14.25" customHeight="1">
      <c r="B478" s="15"/>
      <c r="G478" s="16"/>
    </row>
    <row r="479" ht="14.25" customHeight="1">
      <c r="B479" s="15"/>
      <c r="G479" s="16"/>
    </row>
    <row r="480" ht="14.25" customHeight="1">
      <c r="B480" s="15"/>
      <c r="G480" s="16"/>
    </row>
    <row r="481" ht="14.25" customHeight="1">
      <c r="B481" s="15"/>
      <c r="G481" s="16"/>
    </row>
    <row r="482" ht="14.25" customHeight="1">
      <c r="B482" s="15"/>
      <c r="G482" s="16"/>
    </row>
    <row r="483" ht="14.25" customHeight="1">
      <c r="B483" s="15"/>
      <c r="G483" s="16"/>
    </row>
    <row r="484" ht="14.25" customHeight="1">
      <c r="B484" s="15"/>
      <c r="G484" s="16"/>
    </row>
    <row r="485" ht="14.25" customHeight="1">
      <c r="B485" s="15"/>
      <c r="G485" s="16"/>
    </row>
    <row r="486" ht="14.25" customHeight="1">
      <c r="B486" s="15"/>
      <c r="G486" s="16"/>
    </row>
    <row r="487" ht="14.25" customHeight="1">
      <c r="B487" s="15"/>
      <c r="G487" s="16"/>
    </row>
    <row r="488" ht="14.25" customHeight="1">
      <c r="B488" s="15"/>
      <c r="G488" s="16"/>
    </row>
    <row r="489" ht="14.25" customHeight="1">
      <c r="B489" s="15"/>
      <c r="G489" s="16"/>
    </row>
    <row r="490" ht="14.25" customHeight="1">
      <c r="B490" s="15"/>
      <c r="G490" s="16"/>
    </row>
    <row r="491" ht="14.25" customHeight="1">
      <c r="B491" s="15"/>
      <c r="G491" s="16"/>
    </row>
    <row r="492" ht="14.25" customHeight="1">
      <c r="B492" s="15"/>
      <c r="G492" s="16"/>
    </row>
    <row r="493" ht="14.25" customHeight="1">
      <c r="B493" s="15"/>
      <c r="G493" s="16"/>
    </row>
    <row r="494" ht="14.25" customHeight="1">
      <c r="B494" s="15"/>
      <c r="G494" s="16"/>
    </row>
    <row r="495" ht="14.25" customHeight="1">
      <c r="B495" s="15"/>
      <c r="G495" s="16"/>
    </row>
    <row r="496" ht="14.25" customHeight="1">
      <c r="B496" s="15"/>
      <c r="G496" s="16"/>
    </row>
    <row r="497" ht="14.25" customHeight="1">
      <c r="B497" s="15"/>
      <c r="G497" s="16"/>
    </row>
    <row r="498" ht="14.25" customHeight="1">
      <c r="B498" s="15"/>
      <c r="G498" s="16"/>
    </row>
    <row r="499" ht="14.25" customHeight="1">
      <c r="B499" s="15"/>
      <c r="G499" s="16"/>
    </row>
    <row r="500" ht="14.25" customHeight="1">
      <c r="B500" s="15"/>
      <c r="G500" s="16"/>
    </row>
    <row r="501" ht="14.25" customHeight="1">
      <c r="B501" s="15"/>
      <c r="G501" s="16"/>
    </row>
    <row r="502" ht="14.25" customHeight="1">
      <c r="B502" s="15"/>
      <c r="G502" s="16"/>
    </row>
    <row r="503" ht="14.25" customHeight="1">
      <c r="B503" s="15"/>
      <c r="G503" s="16"/>
    </row>
    <row r="504" ht="14.25" customHeight="1">
      <c r="B504" s="15"/>
      <c r="G504" s="16"/>
    </row>
    <row r="505" ht="14.25" customHeight="1">
      <c r="B505" s="15"/>
      <c r="G505" s="16"/>
    </row>
    <row r="506" ht="14.25" customHeight="1">
      <c r="B506" s="15"/>
      <c r="G506" s="16"/>
    </row>
    <row r="507" ht="14.25" customHeight="1">
      <c r="B507" s="15"/>
      <c r="G507" s="16"/>
    </row>
    <row r="508" ht="14.25" customHeight="1">
      <c r="B508" s="15"/>
      <c r="G508" s="16"/>
    </row>
    <row r="509" ht="14.25" customHeight="1">
      <c r="B509" s="15"/>
      <c r="G509" s="16"/>
    </row>
    <row r="510" ht="14.25" customHeight="1">
      <c r="B510" s="15"/>
      <c r="G510" s="16"/>
    </row>
    <row r="511" ht="14.25" customHeight="1">
      <c r="B511" s="15"/>
      <c r="G511" s="16"/>
    </row>
    <row r="512" ht="14.25" customHeight="1">
      <c r="B512" s="15"/>
      <c r="G512" s="16"/>
    </row>
    <row r="513" ht="14.25" customHeight="1">
      <c r="B513" s="15"/>
      <c r="G513" s="16"/>
    </row>
    <row r="514" ht="14.25" customHeight="1">
      <c r="B514" s="15"/>
      <c r="G514" s="16"/>
    </row>
    <row r="515" ht="14.25" customHeight="1">
      <c r="B515" s="15"/>
      <c r="G515" s="16"/>
    </row>
    <row r="516" ht="14.25" customHeight="1">
      <c r="B516" s="15"/>
      <c r="G516" s="16"/>
    </row>
    <row r="517" ht="14.25" customHeight="1">
      <c r="B517" s="15"/>
      <c r="G517" s="16"/>
    </row>
    <row r="518" ht="14.25" customHeight="1">
      <c r="B518" s="15"/>
      <c r="G518" s="16"/>
    </row>
    <row r="519" ht="14.25" customHeight="1">
      <c r="B519" s="15"/>
      <c r="G519" s="16"/>
    </row>
    <row r="520" ht="14.25" customHeight="1">
      <c r="B520" s="15"/>
      <c r="G520" s="16"/>
    </row>
    <row r="521" ht="14.25" customHeight="1">
      <c r="B521" s="15"/>
      <c r="G521" s="16"/>
    </row>
    <row r="522" ht="14.25" customHeight="1">
      <c r="B522" s="15"/>
      <c r="G522" s="16"/>
    </row>
    <row r="523" ht="14.25" customHeight="1">
      <c r="B523" s="15"/>
      <c r="G523" s="16"/>
    </row>
    <row r="524" ht="14.25" customHeight="1">
      <c r="B524" s="15"/>
      <c r="G524" s="16"/>
    </row>
    <row r="525" ht="14.25" customHeight="1">
      <c r="B525" s="15"/>
      <c r="G525" s="16"/>
    </row>
    <row r="526" ht="14.25" customHeight="1">
      <c r="B526" s="15"/>
      <c r="G526" s="16"/>
    </row>
    <row r="527" ht="14.25" customHeight="1">
      <c r="B527" s="15"/>
      <c r="G527" s="16"/>
    </row>
    <row r="528" ht="14.25" customHeight="1">
      <c r="B528" s="15"/>
      <c r="G528" s="16"/>
    </row>
    <row r="529" ht="14.25" customHeight="1">
      <c r="B529" s="15"/>
      <c r="G529" s="16"/>
    </row>
    <row r="530" ht="14.25" customHeight="1">
      <c r="B530" s="15"/>
      <c r="G530" s="16"/>
    </row>
    <row r="531" ht="14.25" customHeight="1">
      <c r="B531" s="15"/>
      <c r="G531" s="16"/>
    </row>
    <row r="532" ht="14.25" customHeight="1">
      <c r="B532" s="15"/>
      <c r="G532" s="16"/>
    </row>
    <row r="533" ht="14.25" customHeight="1">
      <c r="B533" s="15"/>
      <c r="G533" s="16"/>
    </row>
    <row r="534" ht="14.25" customHeight="1">
      <c r="B534" s="15"/>
      <c r="G534" s="16"/>
    </row>
    <row r="535" ht="14.25" customHeight="1">
      <c r="B535" s="15"/>
      <c r="G535" s="16"/>
    </row>
    <row r="536" ht="14.25" customHeight="1">
      <c r="B536" s="15"/>
      <c r="G536" s="16"/>
    </row>
    <row r="537" ht="14.25" customHeight="1">
      <c r="B537" s="15"/>
      <c r="G537" s="16"/>
    </row>
    <row r="538" ht="14.25" customHeight="1">
      <c r="B538" s="15"/>
      <c r="G538" s="16"/>
    </row>
    <row r="539" ht="14.25" customHeight="1">
      <c r="B539" s="15"/>
      <c r="G539" s="16"/>
    </row>
    <row r="540" ht="14.25" customHeight="1">
      <c r="B540" s="15"/>
      <c r="G540" s="16"/>
    </row>
    <row r="541" ht="14.25" customHeight="1">
      <c r="B541" s="15"/>
      <c r="G541" s="16"/>
    </row>
    <row r="542" ht="14.25" customHeight="1">
      <c r="B542" s="15"/>
      <c r="G542" s="16"/>
    </row>
    <row r="543" ht="14.25" customHeight="1">
      <c r="B543" s="15"/>
      <c r="G543" s="16"/>
    </row>
    <row r="544" ht="14.25" customHeight="1">
      <c r="B544" s="15"/>
      <c r="G544" s="16"/>
    </row>
    <row r="545" ht="14.25" customHeight="1">
      <c r="B545" s="15"/>
      <c r="G545" s="16"/>
    </row>
    <row r="546" ht="14.25" customHeight="1">
      <c r="B546" s="15"/>
      <c r="G546" s="16"/>
    </row>
    <row r="547" ht="14.25" customHeight="1">
      <c r="B547" s="15"/>
      <c r="G547" s="16"/>
    </row>
    <row r="548" ht="14.25" customHeight="1">
      <c r="B548" s="15"/>
      <c r="G548" s="16"/>
    </row>
    <row r="549" ht="14.25" customHeight="1">
      <c r="B549" s="15"/>
      <c r="G549" s="16"/>
    </row>
    <row r="550" ht="14.25" customHeight="1">
      <c r="B550" s="15"/>
      <c r="G550" s="16"/>
    </row>
    <row r="551" ht="14.25" customHeight="1">
      <c r="B551" s="15"/>
      <c r="G551" s="16"/>
    </row>
    <row r="552" ht="14.25" customHeight="1">
      <c r="B552" s="15"/>
      <c r="G552" s="16"/>
    </row>
    <row r="553" ht="14.25" customHeight="1">
      <c r="B553" s="15"/>
      <c r="G553" s="16"/>
    </row>
    <row r="554" ht="14.25" customHeight="1">
      <c r="B554" s="15"/>
      <c r="G554" s="16"/>
    </row>
    <row r="555" ht="14.25" customHeight="1">
      <c r="B555" s="15"/>
      <c r="G555" s="16"/>
    </row>
    <row r="556" ht="14.25" customHeight="1">
      <c r="B556" s="15"/>
      <c r="G556" s="16"/>
    </row>
    <row r="557" ht="14.25" customHeight="1">
      <c r="B557" s="15"/>
      <c r="G557" s="16"/>
    </row>
    <row r="558" ht="14.25" customHeight="1">
      <c r="B558" s="15"/>
      <c r="G558" s="16"/>
    </row>
    <row r="559" ht="14.25" customHeight="1">
      <c r="B559" s="15"/>
      <c r="G559" s="16"/>
    </row>
    <row r="560" ht="14.25" customHeight="1">
      <c r="B560" s="15"/>
      <c r="G560" s="16"/>
    </row>
    <row r="561" ht="14.25" customHeight="1">
      <c r="B561" s="15"/>
      <c r="G561" s="16"/>
    </row>
    <row r="562" ht="14.25" customHeight="1">
      <c r="B562" s="15"/>
      <c r="G562" s="16"/>
    </row>
    <row r="563" ht="14.25" customHeight="1">
      <c r="B563" s="15"/>
      <c r="G563" s="16"/>
    </row>
    <row r="564" ht="14.25" customHeight="1">
      <c r="B564" s="15"/>
      <c r="G564" s="16"/>
    </row>
    <row r="565" ht="14.25" customHeight="1">
      <c r="B565" s="15"/>
      <c r="G565" s="16"/>
    </row>
    <row r="566" ht="14.25" customHeight="1">
      <c r="B566" s="15"/>
      <c r="G566" s="16"/>
    </row>
    <row r="567" ht="14.25" customHeight="1">
      <c r="B567" s="15"/>
      <c r="G567" s="16"/>
    </row>
    <row r="568" ht="14.25" customHeight="1">
      <c r="B568" s="15"/>
      <c r="G568" s="16"/>
    </row>
    <row r="569" ht="14.25" customHeight="1">
      <c r="B569" s="15"/>
      <c r="G569" s="16"/>
    </row>
    <row r="570" ht="14.25" customHeight="1">
      <c r="B570" s="15"/>
      <c r="G570" s="16"/>
    </row>
    <row r="571" ht="14.25" customHeight="1">
      <c r="B571" s="15"/>
      <c r="G571" s="16"/>
    </row>
    <row r="572" ht="14.25" customHeight="1">
      <c r="B572" s="15"/>
      <c r="G572" s="16"/>
    </row>
    <row r="573" ht="14.25" customHeight="1">
      <c r="B573" s="15"/>
      <c r="G573" s="16"/>
    </row>
    <row r="574" ht="14.25" customHeight="1">
      <c r="B574" s="15"/>
      <c r="G574" s="16"/>
    </row>
    <row r="575" ht="14.25" customHeight="1">
      <c r="B575" s="15"/>
      <c r="G575" s="16"/>
    </row>
    <row r="576" ht="14.25" customHeight="1">
      <c r="B576" s="15"/>
      <c r="G576" s="16"/>
    </row>
    <row r="577" ht="14.25" customHeight="1">
      <c r="B577" s="15"/>
      <c r="G577" s="16"/>
    </row>
    <row r="578" ht="14.25" customHeight="1">
      <c r="B578" s="15"/>
      <c r="G578" s="16"/>
    </row>
    <row r="579" ht="14.25" customHeight="1">
      <c r="B579" s="15"/>
      <c r="G579" s="16"/>
    </row>
    <row r="580" ht="14.25" customHeight="1">
      <c r="B580" s="15"/>
      <c r="G580" s="16"/>
    </row>
    <row r="581" ht="14.25" customHeight="1">
      <c r="B581" s="15"/>
      <c r="G581" s="16"/>
    </row>
    <row r="582" ht="14.25" customHeight="1">
      <c r="B582" s="15"/>
      <c r="G582" s="16"/>
    </row>
    <row r="583" ht="14.25" customHeight="1">
      <c r="B583" s="15"/>
      <c r="G583" s="16"/>
    </row>
    <row r="584" ht="14.25" customHeight="1">
      <c r="B584" s="15"/>
      <c r="G584" s="16"/>
    </row>
    <row r="585" ht="14.25" customHeight="1">
      <c r="B585" s="15"/>
      <c r="G585" s="16"/>
    </row>
    <row r="586" ht="14.25" customHeight="1">
      <c r="B586" s="15"/>
      <c r="G586" s="16"/>
    </row>
    <row r="587" ht="14.25" customHeight="1">
      <c r="B587" s="15"/>
      <c r="G587" s="16"/>
    </row>
    <row r="588" ht="14.25" customHeight="1">
      <c r="B588" s="15"/>
      <c r="G588" s="16"/>
    </row>
    <row r="589" ht="14.25" customHeight="1">
      <c r="B589" s="15"/>
      <c r="G589" s="16"/>
    </row>
    <row r="590" ht="14.25" customHeight="1">
      <c r="B590" s="15"/>
      <c r="G590" s="16"/>
    </row>
    <row r="591" ht="14.25" customHeight="1">
      <c r="B591" s="15"/>
      <c r="G591" s="16"/>
    </row>
    <row r="592" ht="14.25" customHeight="1">
      <c r="B592" s="15"/>
      <c r="G592" s="16"/>
    </row>
    <row r="593" ht="14.25" customHeight="1">
      <c r="B593" s="15"/>
      <c r="G593" s="16"/>
    </row>
    <row r="594" ht="14.25" customHeight="1">
      <c r="B594" s="15"/>
      <c r="G594" s="16"/>
    </row>
    <row r="595" ht="14.25" customHeight="1">
      <c r="B595" s="15"/>
      <c r="G595" s="16"/>
    </row>
    <row r="596" ht="14.25" customHeight="1">
      <c r="B596" s="15"/>
      <c r="G596" s="16"/>
    </row>
    <row r="597" ht="14.25" customHeight="1">
      <c r="B597" s="15"/>
      <c r="G597" s="16"/>
    </row>
    <row r="598" ht="14.25" customHeight="1">
      <c r="B598" s="15"/>
      <c r="G598" s="16"/>
    </row>
    <row r="599" ht="14.25" customHeight="1">
      <c r="B599" s="15"/>
      <c r="G599" s="16"/>
    </row>
    <row r="600" ht="14.25" customHeight="1">
      <c r="B600" s="15"/>
      <c r="G600" s="16"/>
    </row>
    <row r="601" ht="14.25" customHeight="1">
      <c r="B601" s="15"/>
      <c r="G601" s="16"/>
    </row>
    <row r="602" ht="14.25" customHeight="1">
      <c r="B602" s="15"/>
      <c r="G602" s="16"/>
    </row>
    <row r="603" ht="14.25" customHeight="1">
      <c r="B603" s="15"/>
      <c r="G603" s="16"/>
    </row>
    <row r="604" ht="14.25" customHeight="1">
      <c r="B604" s="15"/>
      <c r="G604" s="16"/>
    </row>
    <row r="605" ht="14.25" customHeight="1">
      <c r="B605" s="15"/>
      <c r="G605" s="16"/>
    </row>
    <row r="606" ht="14.25" customHeight="1">
      <c r="B606" s="15"/>
      <c r="G606" s="16"/>
    </row>
    <row r="607" ht="14.25" customHeight="1">
      <c r="B607" s="15"/>
      <c r="G607" s="16"/>
    </row>
    <row r="608" ht="14.25" customHeight="1">
      <c r="B608" s="15"/>
      <c r="G608" s="16"/>
    </row>
    <row r="609" ht="14.25" customHeight="1">
      <c r="B609" s="15"/>
      <c r="G609" s="16"/>
    </row>
    <row r="610" ht="14.25" customHeight="1">
      <c r="B610" s="15"/>
      <c r="G610" s="16"/>
    </row>
    <row r="611" ht="14.25" customHeight="1">
      <c r="B611" s="15"/>
      <c r="G611" s="16"/>
    </row>
    <row r="612" ht="14.25" customHeight="1">
      <c r="B612" s="15"/>
      <c r="G612" s="16"/>
    </row>
    <row r="613" ht="14.25" customHeight="1">
      <c r="B613" s="15"/>
      <c r="G613" s="16"/>
    </row>
    <row r="614" ht="14.25" customHeight="1">
      <c r="B614" s="15"/>
      <c r="G614" s="16"/>
    </row>
    <row r="615" ht="14.25" customHeight="1">
      <c r="B615" s="15"/>
      <c r="G615" s="16"/>
    </row>
    <row r="616" ht="14.25" customHeight="1">
      <c r="B616" s="15"/>
      <c r="G616" s="16"/>
    </row>
    <row r="617" ht="14.25" customHeight="1">
      <c r="B617" s="15"/>
      <c r="G617" s="16"/>
    </row>
    <row r="618" ht="14.25" customHeight="1">
      <c r="B618" s="15"/>
      <c r="G618" s="16"/>
    </row>
    <row r="619" ht="14.25" customHeight="1">
      <c r="B619" s="15"/>
      <c r="G619" s="16"/>
    </row>
    <row r="620" ht="14.25" customHeight="1">
      <c r="B620" s="15"/>
      <c r="G620" s="16"/>
    </row>
    <row r="621" ht="14.25" customHeight="1">
      <c r="B621" s="15"/>
      <c r="G621" s="16"/>
    </row>
    <row r="622" ht="14.25" customHeight="1">
      <c r="B622" s="15"/>
      <c r="G622" s="16"/>
    </row>
    <row r="623" ht="14.25" customHeight="1">
      <c r="B623" s="15"/>
      <c r="G623" s="16"/>
    </row>
    <row r="624" ht="14.25" customHeight="1">
      <c r="B624" s="15"/>
      <c r="G624" s="16"/>
    </row>
    <row r="625" ht="14.25" customHeight="1">
      <c r="B625" s="15"/>
      <c r="G625" s="16"/>
    </row>
    <row r="626" ht="14.25" customHeight="1">
      <c r="B626" s="15"/>
      <c r="G626" s="16"/>
    </row>
    <row r="627" ht="14.25" customHeight="1">
      <c r="B627" s="15"/>
      <c r="G627" s="16"/>
    </row>
    <row r="628" ht="14.25" customHeight="1">
      <c r="B628" s="15"/>
      <c r="G628" s="16"/>
    </row>
    <row r="629" ht="14.25" customHeight="1">
      <c r="B629" s="15"/>
      <c r="G629" s="16"/>
    </row>
    <row r="630" ht="14.25" customHeight="1">
      <c r="B630" s="15"/>
      <c r="G630" s="16"/>
    </row>
    <row r="631" ht="14.25" customHeight="1">
      <c r="B631" s="15"/>
      <c r="G631" s="16"/>
    </row>
    <row r="632" ht="14.25" customHeight="1">
      <c r="B632" s="15"/>
      <c r="G632" s="16"/>
    </row>
    <row r="633" ht="14.25" customHeight="1">
      <c r="B633" s="15"/>
      <c r="G633" s="16"/>
    </row>
    <row r="634" ht="14.25" customHeight="1">
      <c r="B634" s="15"/>
      <c r="G634" s="16"/>
    </row>
    <row r="635" ht="14.25" customHeight="1">
      <c r="B635" s="15"/>
      <c r="G635" s="16"/>
    </row>
    <row r="636" ht="14.25" customHeight="1">
      <c r="B636" s="15"/>
      <c r="G636" s="16"/>
    </row>
    <row r="637" ht="14.25" customHeight="1">
      <c r="B637" s="15"/>
      <c r="G637" s="16"/>
    </row>
    <row r="638" ht="14.25" customHeight="1">
      <c r="B638" s="15"/>
      <c r="G638" s="16"/>
    </row>
    <row r="639" ht="14.25" customHeight="1">
      <c r="B639" s="15"/>
      <c r="G639" s="16"/>
    </row>
    <row r="640" ht="14.25" customHeight="1">
      <c r="B640" s="15"/>
      <c r="G640" s="16"/>
    </row>
    <row r="641" ht="14.25" customHeight="1">
      <c r="B641" s="15"/>
      <c r="G641" s="16"/>
    </row>
    <row r="642" ht="14.25" customHeight="1">
      <c r="B642" s="15"/>
      <c r="G642" s="16"/>
    </row>
    <row r="643" ht="14.25" customHeight="1">
      <c r="B643" s="15"/>
      <c r="G643" s="16"/>
    </row>
    <row r="644" ht="14.25" customHeight="1">
      <c r="B644" s="15"/>
      <c r="G644" s="16"/>
    </row>
    <row r="645" ht="14.25" customHeight="1">
      <c r="B645" s="15"/>
      <c r="G645" s="16"/>
    </row>
    <row r="646" ht="14.25" customHeight="1">
      <c r="B646" s="15"/>
      <c r="G646" s="16"/>
    </row>
    <row r="647" ht="14.25" customHeight="1">
      <c r="B647" s="15"/>
      <c r="G647" s="16"/>
    </row>
    <row r="648" ht="14.25" customHeight="1">
      <c r="B648" s="15"/>
      <c r="G648" s="16"/>
    </row>
    <row r="649" ht="14.25" customHeight="1">
      <c r="B649" s="15"/>
      <c r="G649" s="16"/>
    </row>
    <row r="650" ht="14.25" customHeight="1">
      <c r="B650" s="15"/>
      <c r="G650" s="16"/>
    </row>
    <row r="651" ht="14.25" customHeight="1">
      <c r="B651" s="15"/>
      <c r="G651" s="16"/>
    </row>
    <row r="652" ht="14.25" customHeight="1">
      <c r="B652" s="15"/>
      <c r="G652" s="16"/>
    </row>
    <row r="653" ht="14.25" customHeight="1">
      <c r="B653" s="15"/>
      <c r="G653" s="16"/>
    </row>
    <row r="654" ht="14.25" customHeight="1">
      <c r="B654" s="15"/>
      <c r="G654" s="16"/>
    </row>
    <row r="655" ht="14.25" customHeight="1">
      <c r="B655" s="15"/>
      <c r="G655" s="16"/>
    </row>
    <row r="656" ht="14.25" customHeight="1">
      <c r="B656" s="15"/>
      <c r="G656" s="16"/>
    </row>
    <row r="657" ht="14.25" customHeight="1">
      <c r="B657" s="15"/>
      <c r="G657" s="16"/>
    </row>
    <row r="658" ht="14.25" customHeight="1">
      <c r="B658" s="15"/>
      <c r="G658" s="16"/>
    </row>
    <row r="659" ht="14.25" customHeight="1">
      <c r="B659" s="15"/>
      <c r="G659" s="16"/>
    </row>
    <row r="660" ht="14.25" customHeight="1">
      <c r="B660" s="15"/>
      <c r="G660" s="16"/>
    </row>
    <row r="661" ht="14.25" customHeight="1">
      <c r="B661" s="15"/>
      <c r="G661" s="16"/>
    </row>
    <row r="662" ht="14.25" customHeight="1">
      <c r="B662" s="15"/>
      <c r="G662" s="16"/>
    </row>
    <row r="663" ht="14.25" customHeight="1">
      <c r="B663" s="15"/>
      <c r="G663" s="16"/>
    </row>
    <row r="664" ht="14.25" customHeight="1">
      <c r="B664" s="15"/>
      <c r="G664" s="16"/>
    </row>
    <row r="665" ht="14.25" customHeight="1">
      <c r="B665" s="15"/>
      <c r="G665" s="16"/>
    </row>
    <row r="666" ht="14.25" customHeight="1">
      <c r="B666" s="15"/>
      <c r="G666" s="16"/>
    </row>
    <row r="667" ht="14.25" customHeight="1">
      <c r="B667" s="15"/>
      <c r="G667" s="16"/>
    </row>
    <row r="668" ht="14.25" customHeight="1">
      <c r="B668" s="15"/>
      <c r="G668" s="16"/>
    </row>
    <row r="669" ht="14.25" customHeight="1">
      <c r="B669" s="15"/>
      <c r="G669" s="16"/>
    </row>
    <row r="670" ht="14.25" customHeight="1">
      <c r="B670" s="15"/>
      <c r="G670" s="16"/>
    </row>
    <row r="671" ht="14.25" customHeight="1">
      <c r="B671" s="15"/>
      <c r="G671" s="16"/>
    </row>
    <row r="672" ht="14.25" customHeight="1">
      <c r="B672" s="15"/>
      <c r="G672" s="16"/>
    </row>
    <row r="673" ht="14.25" customHeight="1">
      <c r="B673" s="15"/>
      <c r="G673" s="16"/>
    </row>
    <row r="674" ht="14.25" customHeight="1">
      <c r="B674" s="15"/>
      <c r="G674" s="16"/>
    </row>
    <row r="675" ht="14.25" customHeight="1">
      <c r="B675" s="15"/>
      <c r="G675" s="16"/>
    </row>
    <row r="676" ht="14.25" customHeight="1">
      <c r="B676" s="15"/>
      <c r="G676" s="16"/>
    </row>
    <row r="677" ht="14.25" customHeight="1">
      <c r="B677" s="15"/>
      <c r="G677" s="16"/>
    </row>
    <row r="678" ht="14.25" customHeight="1">
      <c r="B678" s="15"/>
      <c r="G678" s="16"/>
    </row>
    <row r="679" ht="14.25" customHeight="1">
      <c r="B679" s="15"/>
      <c r="G679" s="16"/>
    </row>
    <row r="680" ht="14.25" customHeight="1">
      <c r="B680" s="15"/>
      <c r="G680" s="16"/>
    </row>
    <row r="681" ht="14.25" customHeight="1">
      <c r="B681" s="15"/>
      <c r="G681" s="16"/>
    </row>
    <row r="682" ht="14.25" customHeight="1">
      <c r="B682" s="15"/>
      <c r="G682" s="16"/>
    </row>
    <row r="683" ht="14.25" customHeight="1">
      <c r="B683" s="15"/>
      <c r="G683" s="16"/>
    </row>
    <row r="684" ht="14.25" customHeight="1">
      <c r="B684" s="15"/>
      <c r="G684" s="16"/>
    </row>
    <row r="685" ht="14.25" customHeight="1">
      <c r="B685" s="15"/>
      <c r="G685" s="16"/>
    </row>
    <row r="686" ht="14.25" customHeight="1">
      <c r="B686" s="15"/>
      <c r="G686" s="16"/>
    </row>
    <row r="687" ht="14.25" customHeight="1">
      <c r="B687" s="15"/>
      <c r="G687" s="16"/>
    </row>
    <row r="688" ht="14.25" customHeight="1">
      <c r="B688" s="15"/>
      <c r="G688" s="16"/>
    </row>
    <row r="689" ht="14.25" customHeight="1">
      <c r="B689" s="15"/>
      <c r="G689" s="16"/>
    </row>
    <row r="690" ht="14.25" customHeight="1">
      <c r="B690" s="15"/>
      <c r="G690" s="16"/>
    </row>
    <row r="691" ht="14.25" customHeight="1">
      <c r="B691" s="15"/>
      <c r="G691" s="16"/>
    </row>
    <row r="692" ht="14.25" customHeight="1">
      <c r="B692" s="15"/>
      <c r="G692" s="16"/>
    </row>
    <row r="693" ht="14.25" customHeight="1">
      <c r="B693" s="15"/>
      <c r="G693" s="16"/>
    </row>
    <row r="694" ht="14.25" customHeight="1">
      <c r="B694" s="15"/>
      <c r="G694" s="16"/>
    </row>
    <row r="695" ht="14.25" customHeight="1">
      <c r="B695" s="15"/>
      <c r="G695" s="16"/>
    </row>
    <row r="696" ht="14.25" customHeight="1">
      <c r="B696" s="15"/>
      <c r="G696" s="16"/>
    </row>
    <row r="697" ht="14.25" customHeight="1">
      <c r="B697" s="15"/>
      <c r="G697" s="16"/>
    </row>
    <row r="698" ht="14.25" customHeight="1">
      <c r="B698" s="15"/>
      <c r="G698" s="16"/>
    </row>
    <row r="699" ht="14.25" customHeight="1">
      <c r="B699" s="15"/>
      <c r="G699" s="16"/>
    </row>
    <row r="700" ht="14.25" customHeight="1">
      <c r="B700" s="15"/>
      <c r="G700" s="16"/>
    </row>
    <row r="701" ht="14.25" customHeight="1">
      <c r="B701" s="15"/>
      <c r="G701" s="16"/>
    </row>
    <row r="702" ht="14.25" customHeight="1">
      <c r="B702" s="15"/>
      <c r="G702" s="16"/>
    </row>
    <row r="703" ht="14.25" customHeight="1">
      <c r="B703" s="15"/>
      <c r="G703" s="16"/>
    </row>
    <row r="704" ht="14.25" customHeight="1">
      <c r="B704" s="15"/>
      <c r="G704" s="16"/>
    </row>
    <row r="705" ht="14.25" customHeight="1">
      <c r="B705" s="15"/>
      <c r="G705" s="16"/>
    </row>
    <row r="706" ht="14.25" customHeight="1">
      <c r="B706" s="15"/>
      <c r="G706" s="16"/>
    </row>
    <row r="707" ht="14.25" customHeight="1">
      <c r="B707" s="15"/>
      <c r="G707" s="16"/>
    </row>
    <row r="708" ht="14.25" customHeight="1">
      <c r="B708" s="15"/>
      <c r="G708" s="16"/>
    </row>
    <row r="709" ht="14.25" customHeight="1">
      <c r="B709" s="15"/>
      <c r="G709" s="16"/>
    </row>
    <row r="710" ht="14.25" customHeight="1">
      <c r="B710" s="15"/>
      <c r="G710" s="16"/>
    </row>
    <row r="711" ht="14.25" customHeight="1">
      <c r="B711" s="15"/>
      <c r="G711" s="16"/>
    </row>
    <row r="712" ht="14.25" customHeight="1">
      <c r="B712" s="15"/>
      <c r="G712" s="16"/>
    </row>
    <row r="713" ht="14.25" customHeight="1">
      <c r="B713" s="15"/>
      <c r="G713" s="16"/>
    </row>
    <row r="714" ht="14.25" customHeight="1">
      <c r="B714" s="15"/>
      <c r="G714" s="16"/>
    </row>
    <row r="715" ht="14.25" customHeight="1">
      <c r="B715" s="15"/>
      <c r="G715" s="16"/>
    </row>
    <row r="716" ht="14.25" customHeight="1">
      <c r="B716" s="15"/>
      <c r="G716" s="16"/>
    </row>
    <row r="717" ht="14.25" customHeight="1">
      <c r="B717" s="15"/>
      <c r="G717" s="16"/>
    </row>
    <row r="718" ht="14.25" customHeight="1">
      <c r="B718" s="15"/>
      <c r="G718" s="16"/>
    </row>
    <row r="719" ht="14.25" customHeight="1">
      <c r="B719" s="15"/>
      <c r="G719" s="16"/>
    </row>
    <row r="720" ht="14.25" customHeight="1">
      <c r="B720" s="15"/>
      <c r="G720" s="16"/>
    </row>
    <row r="721" ht="14.25" customHeight="1">
      <c r="B721" s="15"/>
      <c r="G721" s="16"/>
    </row>
    <row r="722" ht="14.25" customHeight="1">
      <c r="B722" s="15"/>
      <c r="G722" s="16"/>
    </row>
    <row r="723" ht="14.25" customHeight="1">
      <c r="B723" s="15"/>
      <c r="G723" s="16"/>
    </row>
    <row r="724" ht="14.25" customHeight="1">
      <c r="B724" s="15"/>
      <c r="G724" s="16"/>
    </row>
    <row r="725" ht="14.25" customHeight="1">
      <c r="B725" s="15"/>
      <c r="G725" s="16"/>
    </row>
    <row r="726" ht="14.25" customHeight="1">
      <c r="B726" s="15"/>
      <c r="G726" s="16"/>
    </row>
    <row r="727" ht="14.25" customHeight="1">
      <c r="B727" s="15"/>
      <c r="G727" s="16"/>
    </row>
    <row r="728" ht="14.25" customHeight="1">
      <c r="B728" s="15"/>
      <c r="G728" s="16"/>
    </row>
    <row r="729" ht="14.25" customHeight="1">
      <c r="B729" s="15"/>
      <c r="G729" s="16"/>
    </row>
    <row r="730" ht="14.25" customHeight="1">
      <c r="B730" s="15"/>
      <c r="G730" s="16"/>
    </row>
    <row r="731" ht="14.25" customHeight="1">
      <c r="B731" s="15"/>
      <c r="G731" s="16"/>
    </row>
    <row r="732" ht="14.25" customHeight="1">
      <c r="B732" s="15"/>
      <c r="G732" s="16"/>
    </row>
    <row r="733" ht="14.25" customHeight="1">
      <c r="B733" s="15"/>
      <c r="G733" s="16"/>
    </row>
    <row r="734" ht="14.25" customHeight="1">
      <c r="B734" s="15"/>
      <c r="G734" s="16"/>
    </row>
    <row r="735" ht="14.25" customHeight="1">
      <c r="B735" s="15"/>
      <c r="G735" s="16"/>
    </row>
    <row r="736" ht="14.25" customHeight="1">
      <c r="B736" s="15"/>
      <c r="G736" s="16"/>
    </row>
    <row r="737" ht="14.25" customHeight="1">
      <c r="B737" s="15"/>
      <c r="G737" s="16"/>
    </row>
    <row r="738" ht="14.25" customHeight="1">
      <c r="B738" s="15"/>
      <c r="G738" s="16"/>
    </row>
    <row r="739" ht="14.25" customHeight="1">
      <c r="B739" s="15"/>
      <c r="G739" s="16"/>
    </row>
    <row r="740" ht="14.25" customHeight="1">
      <c r="B740" s="15"/>
      <c r="G740" s="16"/>
    </row>
    <row r="741" ht="14.25" customHeight="1">
      <c r="B741" s="15"/>
      <c r="G741" s="16"/>
    </row>
    <row r="742" ht="14.25" customHeight="1">
      <c r="B742" s="15"/>
      <c r="G742" s="16"/>
    </row>
    <row r="743" ht="14.25" customHeight="1">
      <c r="B743" s="15"/>
      <c r="G743" s="16"/>
    </row>
    <row r="744" ht="14.25" customHeight="1">
      <c r="B744" s="15"/>
      <c r="G744" s="16"/>
    </row>
    <row r="745" ht="14.25" customHeight="1">
      <c r="B745" s="15"/>
      <c r="G745" s="16"/>
    </row>
    <row r="746" ht="14.25" customHeight="1">
      <c r="B746" s="15"/>
      <c r="G746" s="16"/>
    </row>
    <row r="747" ht="14.25" customHeight="1">
      <c r="B747" s="15"/>
      <c r="G747" s="16"/>
    </row>
    <row r="748" ht="14.25" customHeight="1">
      <c r="B748" s="15"/>
      <c r="G748" s="16"/>
    </row>
    <row r="749" ht="14.25" customHeight="1">
      <c r="B749" s="15"/>
      <c r="G749" s="16"/>
    </row>
    <row r="750" ht="14.25" customHeight="1">
      <c r="B750" s="15"/>
      <c r="G750" s="16"/>
    </row>
    <row r="751" ht="14.25" customHeight="1">
      <c r="B751" s="15"/>
      <c r="G751" s="16"/>
    </row>
    <row r="752" ht="14.25" customHeight="1">
      <c r="B752" s="15"/>
      <c r="G752" s="16"/>
    </row>
    <row r="753" ht="14.25" customHeight="1">
      <c r="B753" s="15"/>
      <c r="G753" s="16"/>
    </row>
    <row r="754" ht="14.25" customHeight="1">
      <c r="B754" s="15"/>
      <c r="G754" s="16"/>
    </row>
    <row r="755" ht="14.25" customHeight="1">
      <c r="B755" s="15"/>
      <c r="G755" s="16"/>
    </row>
    <row r="756" ht="14.25" customHeight="1">
      <c r="B756" s="15"/>
      <c r="G756" s="16"/>
    </row>
    <row r="757" ht="14.25" customHeight="1">
      <c r="B757" s="15"/>
      <c r="G757" s="16"/>
    </row>
    <row r="758" ht="14.25" customHeight="1">
      <c r="B758" s="15"/>
      <c r="G758" s="16"/>
    </row>
    <row r="759" ht="14.25" customHeight="1">
      <c r="B759" s="15"/>
      <c r="G759" s="16"/>
    </row>
    <row r="760" ht="14.25" customHeight="1">
      <c r="B760" s="15"/>
      <c r="G760" s="16"/>
    </row>
    <row r="761" ht="14.25" customHeight="1">
      <c r="B761" s="15"/>
      <c r="G761" s="16"/>
    </row>
    <row r="762" ht="14.25" customHeight="1">
      <c r="B762" s="15"/>
      <c r="G762" s="16"/>
    </row>
    <row r="763" ht="14.25" customHeight="1">
      <c r="B763" s="15"/>
      <c r="G763" s="16"/>
    </row>
    <row r="764" ht="14.25" customHeight="1">
      <c r="B764" s="15"/>
      <c r="G764" s="16"/>
    </row>
    <row r="765" ht="14.25" customHeight="1">
      <c r="B765" s="15"/>
      <c r="G765" s="16"/>
    </row>
    <row r="766" ht="14.25" customHeight="1">
      <c r="B766" s="15"/>
      <c r="G766" s="16"/>
    </row>
    <row r="767" ht="14.25" customHeight="1">
      <c r="B767" s="15"/>
      <c r="G767" s="16"/>
    </row>
    <row r="768" ht="14.25" customHeight="1">
      <c r="B768" s="15"/>
      <c r="G768" s="16"/>
    </row>
    <row r="769" ht="14.25" customHeight="1">
      <c r="B769" s="15"/>
      <c r="G769" s="16"/>
    </row>
    <row r="770" ht="14.25" customHeight="1">
      <c r="B770" s="15"/>
      <c r="G770" s="16"/>
    </row>
    <row r="771" ht="14.25" customHeight="1">
      <c r="B771" s="15"/>
      <c r="G771" s="16"/>
    </row>
    <row r="772" ht="14.25" customHeight="1">
      <c r="B772" s="15"/>
      <c r="G772" s="16"/>
    </row>
    <row r="773" ht="14.25" customHeight="1">
      <c r="B773" s="15"/>
      <c r="G773" s="16"/>
    </row>
    <row r="774" ht="14.25" customHeight="1">
      <c r="B774" s="15"/>
      <c r="G774" s="16"/>
    </row>
    <row r="775" ht="14.25" customHeight="1">
      <c r="B775" s="15"/>
      <c r="G775" s="16"/>
    </row>
    <row r="776" ht="14.25" customHeight="1">
      <c r="B776" s="15"/>
      <c r="G776" s="16"/>
    </row>
    <row r="777" ht="14.25" customHeight="1">
      <c r="B777" s="15"/>
      <c r="G777" s="16"/>
    </row>
    <row r="778" ht="14.25" customHeight="1">
      <c r="B778" s="15"/>
      <c r="G778" s="16"/>
    </row>
    <row r="779" ht="14.25" customHeight="1">
      <c r="B779" s="15"/>
      <c r="G779" s="16"/>
    </row>
    <row r="780" ht="14.25" customHeight="1">
      <c r="B780" s="15"/>
      <c r="G780" s="16"/>
    </row>
    <row r="781" ht="14.25" customHeight="1">
      <c r="B781" s="15"/>
      <c r="G781" s="16"/>
    </row>
    <row r="782" ht="14.25" customHeight="1">
      <c r="B782" s="15"/>
      <c r="G782" s="16"/>
    </row>
    <row r="783" ht="14.25" customHeight="1">
      <c r="B783" s="15"/>
      <c r="G783" s="16"/>
    </row>
    <row r="784" ht="14.25" customHeight="1">
      <c r="B784" s="15"/>
      <c r="G784" s="16"/>
    </row>
    <row r="785" ht="14.25" customHeight="1">
      <c r="B785" s="15"/>
      <c r="G785" s="16"/>
    </row>
    <row r="786" ht="14.25" customHeight="1">
      <c r="B786" s="15"/>
      <c r="G786" s="16"/>
    </row>
    <row r="787" ht="14.25" customHeight="1">
      <c r="B787" s="15"/>
      <c r="G787" s="16"/>
    </row>
    <row r="788" ht="14.25" customHeight="1">
      <c r="B788" s="15"/>
      <c r="G788" s="16"/>
    </row>
    <row r="789" ht="14.25" customHeight="1">
      <c r="B789" s="15"/>
      <c r="G789" s="16"/>
    </row>
    <row r="790" ht="14.25" customHeight="1">
      <c r="B790" s="15"/>
      <c r="G790" s="16"/>
    </row>
    <row r="791" ht="14.25" customHeight="1">
      <c r="B791" s="15"/>
      <c r="G791" s="16"/>
    </row>
    <row r="792" ht="14.25" customHeight="1">
      <c r="B792" s="15"/>
      <c r="G792" s="16"/>
    </row>
    <row r="793" ht="14.25" customHeight="1">
      <c r="B793" s="15"/>
      <c r="G793" s="16"/>
    </row>
    <row r="794" ht="14.25" customHeight="1">
      <c r="B794" s="15"/>
      <c r="G794" s="16"/>
    </row>
    <row r="795" ht="14.25" customHeight="1">
      <c r="B795" s="15"/>
      <c r="G795" s="16"/>
    </row>
    <row r="796" ht="14.25" customHeight="1">
      <c r="B796" s="15"/>
      <c r="G796" s="16"/>
    </row>
    <row r="797" ht="14.25" customHeight="1">
      <c r="B797" s="15"/>
      <c r="G797" s="16"/>
    </row>
    <row r="798" ht="14.25" customHeight="1">
      <c r="B798" s="15"/>
      <c r="G798" s="16"/>
    </row>
    <row r="799" ht="14.25" customHeight="1">
      <c r="B799" s="15"/>
      <c r="G799" s="16"/>
    </row>
    <row r="800" ht="14.25" customHeight="1">
      <c r="B800" s="15"/>
      <c r="G800" s="16"/>
    </row>
    <row r="801" ht="14.25" customHeight="1">
      <c r="B801" s="15"/>
      <c r="G801" s="16"/>
    </row>
    <row r="802" ht="14.25" customHeight="1">
      <c r="B802" s="15"/>
      <c r="G802" s="16"/>
    </row>
    <row r="803" ht="14.25" customHeight="1">
      <c r="B803" s="15"/>
      <c r="G803" s="16"/>
    </row>
    <row r="804" ht="14.25" customHeight="1">
      <c r="B804" s="15"/>
      <c r="G804" s="16"/>
    </row>
    <row r="805" ht="14.25" customHeight="1">
      <c r="B805" s="15"/>
      <c r="G805" s="16"/>
    </row>
    <row r="806" ht="14.25" customHeight="1">
      <c r="B806" s="15"/>
      <c r="G806" s="16"/>
    </row>
    <row r="807" ht="14.25" customHeight="1">
      <c r="B807" s="15"/>
      <c r="G807" s="16"/>
    </row>
    <row r="808" ht="14.25" customHeight="1">
      <c r="B808" s="15"/>
      <c r="G808" s="16"/>
    </row>
    <row r="809" ht="14.25" customHeight="1">
      <c r="B809" s="15"/>
      <c r="G809" s="16"/>
    </row>
    <row r="810" ht="14.25" customHeight="1">
      <c r="B810" s="15"/>
      <c r="G810" s="16"/>
    </row>
    <row r="811" ht="14.25" customHeight="1">
      <c r="B811" s="15"/>
      <c r="G811" s="16"/>
    </row>
    <row r="812" ht="14.25" customHeight="1">
      <c r="B812" s="15"/>
      <c r="G812" s="16"/>
    </row>
    <row r="813" ht="14.25" customHeight="1">
      <c r="B813" s="15"/>
      <c r="G813" s="16"/>
    </row>
    <row r="814" ht="14.25" customHeight="1">
      <c r="B814" s="15"/>
      <c r="G814" s="16"/>
    </row>
    <row r="815" ht="14.25" customHeight="1">
      <c r="B815" s="15"/>
      <c r="G815" s="16"/>
    </row>
    <row r="816" ht="14.25" customHeight="1">
      <c r="B816" s="15"/>
      <c r="G816" s="16"/>
    </row>
    <row r="817" ht="14.25" customHeight="1">
      <c r="B817" s="15"/>
      <c r="G817" s="16"/>
    </row>
    <row r="818" ht="14.25" customHeight="1">
      <c r="B818" s="15"/>
      <c r="G818" s="16"/>
    </row>
    <row r="819" ht="14.25" customHeight="1">
      <c r="B819" s="15"/>
      <c r="G819" s="16"/>
    </row>
    <row r="820" ht="14.25" customHeight="1">
      <c r="B820" s="15"/>
      <c r="G820" s="16"/>
    </row>
    <row r="821" ht="14.25" customHeight="1">
      <c r="B821" s="15"/>
      <c r="G821" s="16"/>
    </row>
    <row r="822" ht="14.25" customHeight="1">
      <c r="B822" s="15"/>
      <c r="G822" s="16"/>
    </row>
    <row r="823" ht="14.25" customHeight="1">
      <c r="B823" s="15"/>
      <c r="G823" s="16"/>
    </row>
    <row r="824" ht="14.25" customHeight="1">
      <c r="B824" s="15"/>
      <c r="G824" s="16"/>
    </row>
    <row r="825" ht="14.25" customHeight="1">
      <c r="B825" s="15"/>
      <c r="G825" s="16"/>
    </row>
    <row r="826" ht="14.25" customHeight="1">
      <c r="B826" s="15"/>
      <c r="G826" s="16"/>
    </row>
    <row r="827" ht="14.25" customHeight="1">
      <c r="B827" s="15"/>
      <c r="G827" s="16"/>
    </row>
    <row r="828" ht="14.25" customHeight="1">
      <c r="B828" s="15"/>
      <c r="G828" s="16"/>
    </row>
    <row r="829" ht="14.25" customHeight="1">
      <c r="B829" s="15"/>
      <c r="G829" s="16"/>
    </row>
    <row r="830" ht="14.25" customHeight="1">
      <c r="B830" s="15"/>
      <c r="G830" s="16"/>
    </row>
    <row r="831" ht="14.25" customHeight="1">
      <c r="B831" s="15"/>
      <c r="G831" s="16"/>
    </row>
    <row r="832" ht="14.25" customHeight="1">
      <c r="B832" s="15"/>
      <c r="G832" s="16"/>
    </row>
    <row r="833" ht="14.25" customHeight="1">
      <c r="B833" s="15"/>
      <c r="G833" s="16"/>
    </row>
    <row r="834" ht="14.25" customHeight="1">
      <c r="B834" s="15"/>
      <c r="G834" s="16"/>
    </row>
    <row r="835" ht="14.25" customHeight="1">
      <c r="B835" s="15"/>
      <c r="G835" s="16"/>
    </row>
    <row r="836" ht="14.25" customHeight="1">
      <c r="B836" s="15"/>
      <c r="G836" s="16"/>
    </row>
    <row r="837" ht="14.25" customHeight="1">
      <c r="B837" s="15"/>
      <c r="G837" s="16"/>
    </row>
    <row r="838" ht="14.25" customHeight="1">
      <c r="B838" s="15"/>
      <c r="G838" s="16"/>
    </row>
    <row r="839" ht="14.25" customHeight="1">
      <c r="B839" s="15"/>
      <c r="G839" s="16"/>
    </row>
    <row r="840" ht="14.25" customHeight="1">
      <c r="B840" s="15"/>
      <c r="G840" s="16"/>
    </row>
    <row r="841" ht="14.25" customHeight="1">
      <c r="B841" s="15"/>
      <c r="G841" s="16"/>
    </row>
    <row r="842" ht="14.25" customHeight="1">
      <c r="B842" s="15"/>
      <c r="G842" s="16"/>
    </row>
    <row r="843" ht="14.25" customHeight="1">
      <c r="B843" s="15"/>
      <c r="G843" s="16"/>
    </row>
    <row r="844" ht="14.25" customHeight="1">
      <c r="B844" s="15"/>
      <c r="G844" s="16"/>
    </row>
    <row r="845" ht="14.25" customHeight="1">
      <c r="B845" s="15"/>
      <c r="G845" s="16"/>
    </row>
    <row r="846" ht="14.25" customHeight="1">
      <c r="B846" s="15"/>
      <c r="G846" s="16"/>
    </row>
    <row r="847" ht="14.25" customHeight="1">
      <c r="B847" s="15"/>
      <c r="G847" s="16"/>
    </row>
    <row r="848" ht="14.25" customHeight="1">
      <c r="B848" s="15"/>
      <c r="G848" s="16"/>
    </row>
    <row r="849" ht="14.25" customHeight="1">
      <c r="B849" s="15"/>
      <c r="G849" s="16"/>
    </row>
    <row r="850" ht="14.25" customHeight="1">
      <c r="B850" s="15"/>
      <c r="G850" s="16"/>
    </row>
    <row r="851" ht="14.25" customHeight="1">
      <c r="B851" s="15"/>
      <c r="G851" s="16"/>
    </row>
    <row r="852" ht="14.25" customHeight="1">
      <c r="B852" s="15"/>
      <c r="G852" s="16"/>
    </row>
    <row r="853" ht="14.25" customHeight="1">
      <c r="B853" s="15"/>
      <c r="G853" s="16"/>
    </row>
    <row r="854" ht="14.25" customHeight="1">
      <c r="B854" s="15"/>
      <c r="G854" s="16"/>
    </row>
    <row r="855" ht="14.25" customHeight="1">
      <c r="B855" s="15"/>
      <c r="G855" s="16"/>
    </row>
    <row r="856" ht="14.25" customHeight="1">
      <c r="B856" s="15"/>
      <c r="G856" s="16"/>
    </row>
    <row r="857" ht="14.25" customHeight="1">
      <c r="B857" s="15"/>
      <c r="G857" s="16"/>
    </row>
    <row r="858" ht="14.25" customHeight="1">
      <c r="B858" s="15"/>
      <c r="G858" s="16"/>
    </row>
    <row r="859" ht="14.25" customHeight="1">
      <c r="B859" s="15"/>
      <c r="G859" s="16"/>
    </row>
    <row r="860" ht="14.25" customHeight="1">
      <c r="B860" s="15"/>
      <c r="G860" s="16"/>
    </row>
    <row r="861" ht="14.25" customHeight="1">
      <c r="B861" s="15"/>
      <c r="G861" s="16"/>
    </row>
    <row r="862" ht="14.25" customHeight="1">
      <c r="B862" s="15"/>
      <c r="G862" s="16"/>
    </row>
    <row r="863" ht="14.25" customHeight="1">
      <c r="B863" s="15"/>
      <c r="G863" s="16"/>
    </row>
    <row r="864" ht="14.25" customHeight="1">
      <c r="B864" s="15"/>
      <c r="G864" s="16"/>
    </row>
    <row r="865" ht="14.25" customHeight="1">
      <c r="B865" s="15"/>
      <c r="G865" s="16"/>
    </row>
    <row r="866" ht="14.25" customHeight="1">
      <c r="B866" s="15"/>
      <c r="G866" s="16"/>
    </row>
    <row r="867" ht="14.25" customHeight="1">
      <c r="B867" s="15"/>
      <c r="G867" s="16"/>
    </row>
    <row r="868" ht="14.25" customHeight="1">
      <c r="B868" s="15"/>
      <c r="G868" s="16"/>
    </row>
    <row r="869" ht="14.25" customHeight="1">
      <c r="B869" s="15"/>
      <c r="G869" s="16"/>
    </row>
    <row r="870" ht="14.25" customHeight="1">
      <c r="B870" s="15"/>
      <c r="G870" s="16"/>
    </row>
    <row r="871" ht="14.25" customHeight="1">
      <c r="B871" s="15"/>
      <c r="G871" s="16"/>
    </row>
    <row r="872" ht="14.25" customHeight="1">
      <c r="B872" s="15"/>
      <c r="G872" s="16"/>
    </row>
    <row r="873" ht="14.25" customHeight="1">
      <c r="B873" s="15"/>
      <c r="G873" s="16"/>
    </row>
    <row r="874" ht="14.25" customHeight="1">
      <c r="B874" s="15"/>
      <c r="G874" s="16"/>
    </row>
    <row r="875" ht="14.25" customHeight="1">
      <c r="B875" s="15"/>
      <c r="G875" s="16"/>
    </row>
    <row r="876" ht="14.25" customHeight="1">
      <c r="B876" s="15"/>
      <c r="G876" s="16"/>
    </row>
    <row r="877" ht="14.25" customHeight="1">
      <c r="B877" s="15"/>
      <c r="G877" s="16"/>
    </row>
    <row r="878" ht="14.25" customHeight="1">
      <c r="B878" s="15"/>
      <c r="G878" s="16"/>
    </row>
    <row r="879" ht="14.25" customHeight="1">
      <c r="B879" s="15"/>
      <c r="G879" s="16"/>
    </row>
    <row r="880" ht="14.25" customHeight="1">
      <c r="B880" s="15"/>
      <c r="G880" s="16"/>
    </row>
    <row r="881" ht="14.25" customHeight="1">
      <c r="B881" s="15"/>
      <c r="G881" s="16"/>
    </row>
    <row r="882" ht="14.25" customHeight="1">
      <c r="B882" s="15"/>
      <c r="G882" s="16"/>
    </row>
    <row r="883" ht="14.25" customHeight="1">
      <c r="B883" s="15"/>
      <c r="G883" s="16"/>
    </row>
    <row r="884" ht="14.25" customHeight="1">
      <c r="B884" s="15"/>
      <c r="G884" s="16"/>
    </row>
    <row r="885" ht="14.25" customHeight="1">
      <c r="B885" s="15"/>
      <c r="G885" s="16"/>
    </row>
    <row r="886" ht="14.25" customHeight="1">
      <c r="B886" s="15"/>
      <c r="G886" s="16"/>
    </row>
    <row r="887" ht="14.25" customHeight="1">
      <c r="B887" s="15"/>
      <c r="G887" s="16"/>
    </row>
    <row r="888" ht="14.25" customHeight="1">
      <c r="B888" s="15"/>
      <c r="G888" s="16"/>
    </row>
    <row r="889" ht="14.25" customHeight="1">
      <c r="B889" s="15"/>
      <c r="G889" s="16"/>
    </row>
    <row r="890" ht="14.25" customHeight="1">
      <c r="B890" s="15"/>
      <c r="G890" s="16"/>
    </row>
    <row r="891" ht="14.25" customHeight="1">
      <c r="B891" s="15"/>
      <c r="G891" s="16"/>
    </row>
    <row r="892" ht="14.25" customHeight="1">
      <c r="B892" s="15"/>
      <c r="G892" s="16"/>
    </row>
    <row r="893" ht="14.25" customHeight="1">
      <c r="B893" s="15"/>
      <c r="G893" s="16"/>
    </row>
    <row r="894" ht="14.25" customHeight="1">
      <c r="B894" s="15"/>
      <c r="G894" s="16"/>
    </row>
    <row r="895" ht="14.25" customHeight="1">
      <c r="B895" s="15"/>
      <c r="G895" s="16"/>
    </row>
    <row r="896" ht="14.25" customHeight="1">
      <c r="B896" s="15"/>
      <c r="G896" s="16"/>
    </row>
    <row r="897" ht="14.25" customHeight="1">
      <c r="B897" s="15"/>
      <c r="G897" s="16"/>
    </row>
    <row r="898" ht="14.25" customHeight="1">
      <c r="B898" s="15"/>
      <c r="G898" s="16"/>
    </row>
    <row r="899" ht="14.25" customHeight="1">
      <c r="B899" s="15"/>
      <c r="G899" s="16"/>
    </row>
    <row r="900" ht="14.25" customHeight="1">
      <c r="B900" s="15"/>
      <c r="G900" s="16"/>
    </row>
    <row r="901" ht="14.25" customHeight="1">
      <c r="B901" s="15"/>
      <c r="G901" s="16"/>
    </row>
    <row r="902" ht="14.25" customHeight="1">
      <c r="B902" s="15"/>
      <c r="G902" s="16"/>
    </row>
    <row r="903" ht="14.25" customHeight="1">
      <c r="B903" s="15"/>
      <c r="G903" s="16"/>
    </row>
    <row r="904" ht="14.25" customHeight="1">
      <c r="B904" s="15"/>
      <c r="G904" s="16"/>
    </row>
    <row r="905" ht="14.25" customHeight="1">
      <c r="B905" s="15"/>
      <c r="G905" s="16"/>
    </row>
    <row r="906" ht="14.25" customHeight="1">
      <c r="B906" s="15"/>
      <c r="G906" s="16"/>
    </row>
    <row r="907" ht="14.25" customHeight="1">
      <c r="B907" s="15"/>
      <c r="G907" s="16"/>
    </row>
    <row r="908" ht="14.25" customHeight="1">
      <c r="B908" s="15"/>
      <c r="G908" s="16"/>
    </row>
    <row r="909" ht="14.25" customHeight="1">
      <c r="B909" s="15"/>
      <c r="G909" s="16"/>
    </row>
    <row r="910" ht="14.25" customHeight="1">
      <c r="B910" s="15"/>
      <c r="G910" s="16"/>
    </row>
    <row r="911" ht="14.25" customHeight="1">
      <c r="B911" s="15"/>
      <c r="G911" s="16"/>
    </row>
    <row r="912" ht="14.25" customHeight="1">
      <c r="B912" s="15"/>
      <c r="G912" s="16"/>
    </row>
    <row r="913" ht="14.25" customHeight="1">
      <c r="B913" s="15"/>
      <c r="G913" s="16"/>
    </row>
    <row r="914" ht="14.25" customHeight="1">
      <c r="B914" s="15"/>
      <c r="G914" s="16"/>
    </row>
    <row r="915" ht="14.25" customHeight="1">
      <c r="B915" s="15"/>
      <c r="G915" s="16"/>
    </row>
    <row r="916" ht="14.25" customHeight="1">
      <c r="B916" s="15"/>
      <c r="G916" s="16"/>
    </row>
    <row r="917" ht="14.25" customHeight="1">
      <c r="B917" s="15"/>
      <c r="G917" s="16"/>
    </row>
    <row r="918" ht="14.25" customHeight="1">
      <c r="B918" s="15"/>
      <c r="G918" s="16"/>
    </row>
    <row r="919" ht="14.25" customHeight="1">
      <c r="B919" s="15"/>
      <c r="G919" s="16"/>
    </row>
    <row r="920" ht="14.25" customHeight="1">
      <c r="B920" s="15"/>
      <c r="G920" s="16"/>
    </row>
    <row r="921" ht="14.25" customHeight="1">
      <c r="B921" s="15"/>
      <c r="G921" s="16"/>
    </row>
    <row r="922" ht="14.25" customHeight="1">
      <c r="B922" s="15"/>
      <c r="G922" s="16"/>
    </row>
    <row r="923" ht="14.25" customHeight="1">
      <c r="B923" s="15"/>
      <c r="G923" s="16"/>
    </row>
    <row r="924" ht="14.25" customHeight="1">
      <c r="B924" s="15"/>
      <c r="G924" s="16"/>
    </row>
    <row r="925" ht="14.25" customHeight="1">
      <c r="B925" s="15"/>
      <c r="G925" s="16"/>
    </row>
    <row r="926" ht="14.25" customHeight="1">
      <c r="B926" s="15"/>
      <c r="G926" s="16"/>
    </row>
    <row r="927" ht="14.25" customHeight="1">
      <c r="B927" s="15"/>
      <c r="G927" s="16"/>
    </row>
    <row r="928" ht="14.25" customHeight="1">
      <c r="B928" s="15"/>
      <c r="G928" s="16"/>
    </row>
    <row r="929" ht="14.25" customHeight="1">
      <c r="B929" s="15"/>
      <c r="G929" s="16"/>
    </row>
    <row r="930" ht="14.25" customHeight="1">
      <c r="B930" s="15"/>
      <c r="G930" s="16"/>
    </row>
    <row r="931" ht="14.25" customHeight="1">
      <c r="B931" s="15"/>
      <c r="G931" s="16"/>
    </row>
    <row r="932" ht="14.25" customHeight="1">
      <c r="B932" s="15"/>
      <c r="G932" s="16"/>
    </row>
    <row r="933" ht="14.25" customHeight="1">
      <c r="B933" s="15"/>
      <c r="G933" s="16"/>
    </row>
    <row r="934" ht="14.25" customHeight="1">
      <c r="B934" s="15"/>
      <c r="G934" s="16"/>
    </row>
    <row r="935" ht="14.25" customHeight="1">
      <c r="B935" s="15"/>
      <c r="G935" s="16"/>
    </row>
    <row r="936" ht="14.25" customHeight="1">
      <c r="B936" s="15"/>
      <c r="G936" s="16"/>
    </row>
    <row r="937" ht="14.25" customHeight="1">
      <c r="B937" s="15"/>
      <c r="G937" s="16"/>
    </row>
    <row r="938" ht="14.25" customHeight="1">
      <c r="B938" s="15"/>
      <c r="G938" s="16"/>
    </row>
    <row r="939" ht="14.25" customHeight="1">
      <c r="B939" s="15"/>
      <c r="G939" s="16"/>
    </row>
    <row r="940" ht="14.25" customHeight="1">
      <c r="B940" s="15"/>
      <c r="G940" s="16"/>
    </row>
    <row r="941" ht="14.25" customHeight="1">
      <c r="B941" s="15"/>
      <c r="G941" s="16"/>
    </row>
    <row r="942" ht="14.25" customHeight="1">
      <c r="B942" s="15"/>
      <c r="G942" s="16"/>
    </row>
    <row r="943" ht="14.25" customHeight="1">
      <c r="B943" s="15"/>
      <c r="G943" s="16"/>
    </row>
    <row r="944" ht="14.25" customHeight="1">
      <c r="B944" s="15"/>
      <c r="G944" s="16"/>
    </row>
    <row r="945" ht="14.25" customHeight="1">
      <c r="B945" s="15"/>
      <c r="G945" s="16"/>
    </row>
    <row r="946" ht="14.25" customHeight="1">
      <c r="B946" s="15"/>
      <c r="G946" s="16"/>
    </row>
    <row r="947" ht="14.25" customHeight="1">
      <c r="B947" s="15"/>
      <c r="G947" s="16"/>
    </row>
    <row r="948" ht="14.25" customHeight="1">
      <c r="B948" s="15"/>
      <c r="G948" s="16"/>
    </row>
    <row r="949" ht="14.25" customHeight="1">
      <c r="B949" s="15"/>
      <c r="G949" s="16"/>
    </row>
    <row r="950" ht="14.25" customHeight="1">
      <c r="B950" s="15"/>
      <c r="G950" s="16"/>
    </row>
    <row r="951" ht="14.25" customHeight="1">
      <c r="B951" s="15"/>
      <c r="G951" s="16"/>
    </row>
    <row r="952" ht="14.25" customHeight="1">
      <c r="B952" s="15"/>
      <c r="G952" s="16"/>
    </row>
    <row r="953" ht="14.25" customHeight="1">
      <c r="B953" s="15"/>
      <c r="G953" s="16"/>
    </row>
    <row r="954" ht="14.25" customHeight="1">
      <c r="B954" s="15"/>
      <c r="G954" s="16"/>
    </row>
    <row r="955" ht="14.25" customHeight="1">
      <c r="B955" s="15"/>
      <c r="G955" s="16"/>
    </row>
    <row r="956" ht="14.25" customHeight="1">
      <c r="B956" s="15"/>
      <c r="G956" s="16"/>
    </row>
    <row r="957" ht="14.25" customHeight="1">
      <c r="B957" s="15"/>
      <c r="G957" s="16"/>
    </row>
    <row r="958" ht="14.25" customHeight="1">
      <c r="B958" s="15"/>
      <c r="G958" s="16"/>
    </row>
    <row r="959" ht="14.25" customHeight="1">
      <c r="B959" s="15"/>
      <c r="G959" s="16"/>
    </row>
    <row r="960" ht="14.25" customHeight="1">
      <c r="B960" s="15"/>
      <c r="G960" s="16"/>
    </row>
    <row r="961" ht="14.25" customHeight="1">
      <c r="B961" s="15"/>
      <c r="G961" s="16"/>
    </row>
    <row r="962" ht="14.25" customHeight="1">
      <c r="B962" s="15"/>
      <c r="G962" s="16"/>
    </row>
    <row r="963" ht="14.25" customHeight="1">
      <c r="B963" s="15"/>
      <c r="G963" s="16"/>
    </row>
    <row r="964" ht="14.25" customHeight="1">
      <c r="B964" s="15"/>
      <c r="G964" s="16"/>
    </row>
    <row r="965" ht="14.25" customHeight="1">
      <c r="B965" s="15"/>
      <c r="G965" s="16"/>
    </row>
    <row r="966" ht="14.25" customHeight="1">
      <c r="B966" s="15"/>
      <c r="G966" s="16"/>
    </row>
    <row r="967" ht="14.25" customHeight="1">
      <c r="B967" s="15"/>
      <c r="G967" s="16"/>
    </row>
    <row r="968" ht="14.25" customHeight="1">
      <c r="B968" s="15"/>
      <c r="G968" s="16"/>
    </row>
    <row r="969" ht="14.25" customHeight="1">
      <c r="B969" s="15"/>
      <c r="G969" s="16"/>
    </row>
    <row r="970" ht="14.25" customHeight="1">
      <c r="B970" s="15"/>
      <c r="G970" s="16"/>
    </row>
    <row r="971" ht="14.25" customHeight="1">
      <c r="B971" s="15"/>
      <c r="G971" s="16"/>
    </row>
    <row r="972" ht="14.25" customHeight="1">
      <c r="B972" s="15"/>
      <c r="G972" s="16"/>
    </row>
    <row r="973" ht="14.25" customHeight="1">
      <c r="B973" s="15"/>
      <c r="G973" s="16"/>
    </row>
    <row r="974" ht="14.25" customHeight="1">
      <c r="B974" s="15"/>
      <c r="G974" s="16"/>
    </row>
    <row r="975" ht="14.25" customHeight="1">
      <c r="B975" s="15"/>
      <c r="G975" s="16"/>
    </row>
    <row r="976" ht="14.25" customHeight="1">
      <c r="B976" s="15"/>
      <c r="G976" s="16"/>
    </row>
    <row r="977" ht="14.25" customHeight="1">
      <c r="B977" s="15"/>
      <c r="G977" s="16"/>
    </row>
    <row r="978" ht="14.25" customHeight="1">
      <c r="B978" s="15"/>
      <c r="G978" s="16"/>
    </row>
    <row r="979" ht="14.25" customHeight="1">
      <c r="B979" s="15"/>
      <c r="G979" s="16"/>
    </row>
    <row r="980" ht="14.25" customHeight="1">
      <c r="B980" s="15"/>
      <c r="G980" s="16"/>
    </row>
    <row r="981" ht="14.25" customHeight="1">
      <c r="B981" s="15"/>
      <c r="G981" s="16"/>
    </row>
    <row r="982" ht="14.25" customHeight="1">
      <c r="B982" s="15"/>
      <c r="G982" s="16"/>
    </row>
    <row r="983" ht="14.25" customHeight="1">
      <c r="B983" s="15"/>
      <c r="G983" s="16"/>
    </row>
    <row r="984" ht="14.25" customHeight="1">
      <c r="B984" s="15"/>
      <c r="G984" s="16"/>
    </row>
    <row r="985" ht="14.25" customHeight="1">
      <c r="B985" s="15"/>
      <c r="G985" s="16"/>
    </row>
    <row r="986" ht="14.25" customHeight="1">
      <c r="B986" s="15"/>
      <c r="G986" s="16"/>
    </row>
    <row r="987" ht="14.25" customHeight="1">
      <c r="B987" s="15"/>
      <c r="G987" s="16"/>
    </row>
    <row r="988" ht="14.25" customHeight="1">
      <c r="B988" s="15"/>
      <c r="G988" s="16"/>
    </row>
    <row r="989" ht="14.25" customHeight="1">
      <c r="B989" s="15"/>
      <c r="G989" s="16"/>
    </row>
    <row r="990" ht="14.25" customHeight="1">
      <c r="B990" s="15"/>
      <c r="G990" s="16"/>
    </row>
    <row r="991" ht="14.25" customHeight="1">
      <c r="B991" s="15"/>
      <c r="G991" s="16"/>
    </row>
    <row r="992" ht="14.25" customHeight="1">
      <c r="B992" s="15"/>
      <c r="G992" s="16"/>
    </row>
    <row r="993" ht="14.25" customHeight="1">
      <c r="B993" s="15"/>
      <c r="G993" s="16"/>
    </row>
    <row r="994" ht="14.25" customHeight="1">
      <c r="B994" s="15"/>
      <c r="G994" s="16"/>
    </row>
    <row r="995" ht="14.25" customHeight="1">
      <c r="B995" s="15"/>
      <c r="G995" s="16"/>
    </row>
    <row r="996" ht="14.25" customHeight="1">
      <c r="B996" s="15"/>
      <c r="G996" s="16"/>
    </row>
    <row r="997" ht="14.25" customHeight="1">
      <c r="B997" s="15"/>
      <c r="G997" s="16"/>
    </row>
    <row r="998" ht="14.25" customHeight="1">
      <c r="B998" s="15"/>
      <c r="G998" s="16"/>
    </row>
    <row r="999" ht="14.25" customHeight="1">
      <c r="B999" s="15"/>
      <c r="G999" s="16"/>
    </row>
    <row r="1000" ht="14.25" customHeight="1">
      <c r="B1000" s="15"/>
      <c r="G1000" s="16"/>
    </row>
  </sheetData>
  <dataValidations>
    <dataValidation type="custom" allowBlank="1" showDropDown="1" sqref="B2:B351">
      <formula1>OR(NOT(ISERROR(DATEVALUE(B2))), AND(ISNUMBER(B2), LEFT(CELL("format", B2))="D"))</formula1>
    </dataValidation>
    <dataValidation type="custom" allowBlank="1" showDropDown="1" sqref="G2:G351">
      <formula1>AND(ISNUMBER(G2),(NOT(OR(NOT(ISERROR(DATEVALUE(G2))), AND(ISNUMBER(G2), LEFT(CELL("format", G2))="D")))))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